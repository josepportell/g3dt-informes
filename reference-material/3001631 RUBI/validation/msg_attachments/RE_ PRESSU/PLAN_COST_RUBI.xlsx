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Desktop\"/>
    </mc:Choice>
  </mc:AlternateContent>
  <xr:revisionPtr revIDLastSave="0" documentId="13_ncr:1_{9B54EC57-3F9E-4A49-9827-5F90EBC0788F}" xr6:coauthVersionLast="47" xr6:coauthVersionMax="47" xr10:uidLastSave="{00000000-0000-0000-0000-000000000000}"/>
  <bookViews>
    <workbookView xWindow="-110" yWindow="-110" windowWidth="19420" windowHeight="10300" activeTab="1" xr2:uid="{0E20FAB7-5FA7-4984-82FB-FBB49875EF05}"/>
  </bookViews>
  <sheets>
    <sheet name="Plan Cost" sheetId="1" r:id="rId1"/>
    <sheet name="OFERTA" sheetId="8" r:id="rId2"/>
    <sheet name="FACTURA M" sheetId="10" r:id="rId3"/>
    <sheet name="Material Cost (lab)" sheetId="2" r:id="rId4"/>
    <sheet name="Material Cost" sheetId="3" r:id="rId5"/>
    <sheet name="Cost Center" sheetId="4" r:id="rId6"/>
    <sheet name="Technicians" sheetId="5" r:id="rId7"/>
  </sheets>
  <definedNames>
    <definedName name="_xlnm._FilterDatabase" localSheetId="0" hidden="1">'Plan Cost'!$B$21:$H$21</definedName>
    <definedName name="_xlnm.Print_Area" localSheetId="1">OFERTA!$G$28:$I$47</definedName>
    <definedName name="_xlnm.Print_Area" localSheetId="0">'Plan Cost'!$A$1:$O$65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8" l="1"/>
  <c r="H54" i="8"/>
  <c r="H4" i="8" l="1"/>
  <c r="H21" i="8" l="1"/>
  <c r="K66" i="8"/>
  <c r="J66" i="8"/>
  <c r="H19" i="8" l="1"/>
  <c r="H16" i="8" l="1"/>
  <c r="H18" i="8" l="1"/>
  <c r="I61" i="8" l="1"/>
  <c r="I62" i="8"/>
  <c r="H53" i="8" l="1"/>
  <c r="H55" i="8" s="1"/>
  <c r="H61" i="8" l="1"/>
  <c r="H66" i="8" s="1"/>
  <c r="I66" i="8" l="1"/>
  <c r="H6" i="8"/>
  <c r="G10" i="8" l="1"/>
  <c r="G11" i="8"/>
  <c r="H62" i="8" l="1"/>
  <c r="K70" i="10"/>
  <c r="K68" i="10"/>
  <c r="K65" i="10"/>
  <c r="H65" i="10"/>
  <c r="K69" i="10" s="1"/>
  <c r="I60" i="10"/>
  <c r="I69" i="10" s="1"/>
  <c r="L65" i="10"/>
  <c r="J65" i="10"/>
  <c r="I65" i="10"/>
  <c r="J71" i="10" s="1"/>
  <c r="I62" i="10"/>
  <c r="I61" i="10"/>
  <c r="D91" i="10"/>
  <c r="D90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3" i="10"/>
  <c r="D72" i="10"/>
  <c r="D71" i="10"/>
  <c r="D63" i="10"/>
  <c r="D62" i="10"/>
  <c r="D59" i="10"/>
  <c r="D58" i="10"/>
  <c r="D60" i="10" s="1"/>
  <c r="D55" i="10"/>
  <c r="D56" i="10" s="1"/>
  <c r="D54" i="10"/>
  <c r="H53" i="10"/>
  <c r="H55" i="10" s="1"/>
  <c r="D51" i="10"/>
  <c r="D50" i="10"/>
  <c r="D52" i="10" s="1"/>
  <c r="D49" i="10"/>
  <c r="H48" i="10"/>
  <c r="D48" i="10"/>
  <c r="H47" i="10"/>
  <c r="H46" i="10"/>
  <c r="H45" i="10"/>
  <c r="H44" i="10"/>
  <c r="H43" i="10"/>
  <c r="H42" i="10"/>
  <c r="H41" i="10"/>
  <c r="D41" i="10"/>
  <c r="H40" i="10"/>
  <c r="D40" i="10"/>
  <c r="H39" i="10"/>
  <c r="H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D27" i="10"/>
  <c r="D26" i="10"/>
  <c r="H23" i="10"/>
  <c r="D23" i="10"/>
  <c r="H22" i="10"/>
  <c r="D22" i="10"/>
  <c r="H21" i="10"/>
  <c r="D21" i="10"/>
  <c r="H20" i="10"/>
  <c r="D20" i="10"/>
  <c r="H19" i="10"/>
  <c r="H18" i="10"/>
  <c r="H17" i="10"/>
  <c r="D17" i="10"/>
  <c r="H16" i="10"/>
  <c r="D16" i="10"/>
  <c r="H15" i="10"/>
  <c r="D15" i="10"/>
  <c r="H14" i="10"/>
  <c r="D14" i="10"/>
  <c r="H13" i="10"/>
  <c r="C13" i="10"/>
  <c r="D13" i="10" s="1"/>
  <c r="H12" i="10"/>
  <c r="C12" i="10"/>
  <c r="D12" i="10" s="1"/>
  <c r="H11" i="10"/>
  <c r="C11" i="10"/>
  <c r="D11" i="10" s="1"/>
  <c r="H10" i="10"/>
  <c r="C10" i="10"/>
  <c r="D10" i="10" s="1"/>
  <c r="H9" i="10"/>
  <c r="D9" i="10"/>
  <c r="H8" i="10"/>
  <c r="D8" i="10"/>
  <c r="H7" i="10"/>
  <c r="D7" i="10"/>
  <c r="H6" i="10"/>
  <c r="D6" i="10"/>
  <c r="H5" i="10"/>
  <c r="D5" i="10"/>
  <c r="H4" i="10"/>
  <c r="D4" i="10"/>
  <c r="E42" i="1"/>
  <c r="J70" i="8"/>
  <c r="I63" i="8"/>
  <c r="I69" i="8" s="1"/>
  <c r="E57" i="1"/>
  <c r="H41" i="8"/>
  <c r="H42" i="8"/>
  <c r="H43" i="8"/>
  <c r="H44" i="8"/>
  <c r="H45" i="8"/>
  <c r="H46" i="8"/>
  <c r="H47" i="8"/>
  <c r="H48" i="8"/>
  <c r="H40" i="8"/>
  <c r="H29" i="8"/>
  <c r="H30" i="8"/>
  <c r="H31" i="8"/>
  <c r="H32" i="8"/>
  <c r="H33" i="8"/>
  <c r="H34" i="8"/>
  <c r="H35" i="8"/>
  <c r="H36" i="8"/>
  <c r="H37" i="8"/>
  <c r="H38" i="8"/>
  <c r="H39" i="8"/>
  <c r="H28" i="8"/>
  <c r="H20" i="8"/>
  <c r="H5" i="8"/>
  <c r="H7" i="8"/>
  <c r="H8" i="8"/>
  <c r="H9" i="8"/>
  <c r="H10" i="8"/>
  <c r="H11" i="8"/>
  <c r="H12" i="8"/>
  <c r="H13" i="8"/>
  <c r="H14" i="8"/>
  <c r="H15" i="8"/>
  <c r="H17" i="8"/>
  <c r="K71" i="10" l="1"/>
  <c r="H24" i="10"/>
  <c r="H49" i="10"/>
  <c r="L68" i="10" s="1"/>
  <c r="D88" i="10"/>
  <c r="D93" i="10" s="1"/>
  <c r="I70" i="10"/>
  <c r="I71" i="10"/>
  <c r="D74" i="10"/>
  <c r="D92" i="10"/>
  <c r="J69" i="10"/>
  <c r="J70" i="10"/>
  <c r="I68" i="10"/>
  <c r="D64" i="10"/>
  <c r="D65" i="10" s="1"/>
  <c r="H69" i="10" s="1"/>
  <c r="D24" i="10"/>
  <c r="D38" i="10"/>
  <c r="D42" i="10"/>
  <c r="J68" i="10"/>
  <c r="H24" i="8"/>
  <c r="E39" i="1"/>
  <c r="K71" i="8"/>
  <c r="K69" i="8"/>
  <c r="K72" i="8"/>
  <c r="K70" i="8"/>
  <c r="E43" i="1"/>
  <c r="J69" i="8"/>
  <c r="J71" i="8"/>
  <c r="J72" i="8"/>
  <c r="E56" i="1"/>
  <c r="I72" i="8"/>
  <c r="I71" i="8"/>
  <c r="I70" i="8"/>
  <c r="H49" i="8"/>
  <c r="E26" i="1" s="1"/>
  <c r="D18" i="10"/>
  <c r="D43" i="10"/>
  <c r="H68" i="10" s="1"/>
  <c r="H71" i="10" l="1"/>
  <c r="H70" i="10"/>
  <c r="M68" i="10"/>
  <c r="L69" i="10"/>
  <c r="M69" i="10" s="1"/>
  <c r="L71" i="10"/>
  <c r="M71" i="10" s="1"/>
  <c r="L70" i="10"/>
  <c r="M70" i="10" s="1"/>
  <c r="L72" i="8"/>
  <c r="M72" i="8" s="1"/>
  <c r="L71" i="8"/>
  <c r="M71" i="8" s="1"/>
  <c r="E25" i="1"/>
  <c r="L69" i="8"/>
  <c r="M69" i="8" s="1"/>
  <c r="E24" i="1"/>
  <c r="L70" i="8"/>
  <c r="M70" i="8" s="1"/>
  <c r="D55" i="8"/>
  <c r="H70" i="8" s="1"/>
  <c r="M21" i="1" s="1"/>
  <c r="D92" i="8"/>
  <c r="D90" i="8"/>
  <c r="D87" i="8"/>
  <c r="D86" i="8"/>
  <c r="D85" i="8"/>
  <c r="D84" i="8"/>
  <c r="D83" i="8"/>
  <c r="D82" i="8"/>
  <c r="D81" i="8"/>
  <c r="D80" i="8"/>
  <c r="D79" i="8"/>
  <c r="D78" i="8"/>
  <c r="D77" i="8"/>
  <c r="D76" i="8"/>
  <c r="D73" i="8"/>
  <c r="D72" i="8"/>
  <c r="D71" i="8"/>
  <c r="D41" i="8"/>
  <c r="D40" i="8"/>
  <c r="D27" i="8"/>
  <c r="D28" i="8"/>
  <c r="D29" i="8"/>
  <c r="D30" i="8"/>
  <c r="D31" i="8"/>
  <c r="D32" i="8"/>
  <c r="D33" i="8"/>
  <c r="D34" i="8"/>
  <c r="D35" i="8"/>
  <c r="D36" i="8"/>
  <c r="D37" i="8"/>
  <c r="D21" i="8"/>
  <c r="D22" i="8"/>
  <c r="D23" i="8"/>
  <c r="D63" i="8"/>
  <c r="D62" i="8"/>
  <c r="D59" i="8"/>
  <c r="D49" i="8"/>
  <c r="D50" i="8"/>
  <c r="D51" i="8"/>
  <c r="D48" i="8"/>
  <c r="D54" i="8"/>
  <c r="C11" i="8"/>
  <c r="C10" i="8"/>
  <c r="D52" i="8" l="1"/>
  <c r="D74" i="8"/>
  <c r="D42" i="8"/>
  <c r="D93" i="8"/>
  <c r="D56" i="8"/>
  <c r="D88" i="8"/>
  <c r="D64" i="8"/>
  <c r="D26" i="8"/>
  <c r="D38" i="8" s="1"/>
  <c r="D58" i="8" s="1"/>
  <c r="D60" i="8" s="1"/>
  <c r="D20" i="8"/>
  <c r="D24" i="8" s="1"/>
  <c r="D7" i="8"/>
  <c r="D8" i="8"/>
  <c r="D9" i="8"/>
  <c r="D10" i="8"/>
  <c r="D11" i="8"/>
  <c r="D12" i="8"/>
  <c r="D13" i="8"/>
  <c r="D14" i="8"/>
  <c r="D15" i="8"/>
  <c r="D16" i="8"/>
  <c r="D65" i="8" l="1"/>
  <c r="D94" i="8"/>
  <c r="H71" i="8" s="1"/>
  <c r="E47" i="1"/>
  <c r="E65" i="1"/>
  <c r="D17" i="8" l="1"/>
  <c r="D6" i="8"/>
  <c r="D5" i="8"/>
  <c r="D4" i="8"/>
  <c r="D18" i="8" l="1"/>
  <c r="D43" i="8" s="1"/>
  <c r="H72" i="8" l="1"/>
  <c r="H69" i="8"/>
  <c r="E52" i="1"/>
  <c r="E36" i="1" l="1"/>
  <c r="M15" i="1" s="1"/>
  <c r="M16" i="1" s="1"/>
  <c r="M19" i="1" l="1"/>
  <c r="M17" i="1"/>
  <c r="F65" i="1"/>
  <c r="M14" i="1" s="1"/>
  <c r="M18" i="1" l="1"/>
  <c r="M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Herrera, Fernando</author>
  </authors>
  <commentList>
    <comment ref="J19" authorId="0" shapeId="0" xr:uid="{AC9F347C-36A2-4140-BE9E-BD1605047286}">
      <text>
        <r>
          <rPr>
            <sz val="9"/>
            <color indexed="81"/>
            <rFont val="Tahoma"/>
            <family val="2"/>
          </rPr>
          <t>Incluye subcontratación externa e interna</t>
        </r>
      </text>
    </comment>
  </commentList>
</comments>
</file>

<file path=xl/sharedStrings.xml><?xml version="1.0" encoding="utf-8"?>
<sst xmlns="http://schemas.openxmlformats.org/spreadsheetml/2006/main" count="1332" uniqueCount="995">
  <si>
    <t>PtCtr</t>
  </si>
  <si>
    <t>T13-380-00-G100001</t>
  </si>
  <si>
    <t>T13-380-00-G100002</t>
  </si>
  <si>
    <t>T13-380-00-G100003</t>
  </si>
  <si>
    <t>T13-380-00-G100004</t>
  </si>
  <si>
    <t>T13-380-00-G100005</t>
  </si>
  <si>
    <t>T13-380-00-G100006</t>
  </si>
  <si>
    <t>T13-380-00-G100007</t>
  </si>
  <si>
    <t>T13-380-00-G100008</t>
  </si>
  <si>
    <t>T13-380-00-G110001</t>
  </si>
  <si>
    <t>T13-380-00-G110002</t>
  </si>
  <si>
    <t>T13-380-00-G110003</t>
  </si>
  <si>
    <t>T13-380-00-G110004</t>
  </si>
  <si>
    <t>T13-380-00-G110005</t>
  </si>
  <si>
    <t>T13-380-00-G110006</t>
  </si>
  <si>
    <t>T13-380-00-G110007</t>
  </si>
  <si>
    <t>T13-380-00-G110008</t>
  </si>
  <si>
    <t>T13-380-00-G110009</t>
  </si>
  <si>
    <t>T13-380-00-G110010</t>
  </si>
  <si>
    <t>T13-380-00-G110011</t>
  </si>
  <si>
    <t>T13-380-00-G110012</t>
  </si>
  <si>
    <t>T13-380-00-G110013</t>
  </si>
  <si>
    <t>T13-380-00-G110014</t>
  </si>
  <si>
    <t>T13-380-00-G110015</t>
  </si>
  <si>
    <t>T13-380-00-G110016</t>
  </si>
  <si>
    <t>T13-380-00-G110017</t>
  </si>
  <si>
    <t>T13-380-00-G110018</t>
  </si>
  <si>
    <t>T13-380-00-G110019</t>
  </si>
  <si>
    <t>T13-380-00-G110020</t>
  </si>
  <si>
    <t>T13-380-00-G110021</t>
  </si>
  <si>
    <t>T13-380-00-G110022</t>
  </si>
  <si>
    <t>T13-380-00-G110023</t>
  </si>
  <si>
    <t>T13-380-00-G110024</t>
  </si>
  <si>
    <t>T13-380-00-G110025</t>
  </si>
  <si>
    <t>T13-380-00-G110026</t>
  </si>
  <si>
    <t>T13-380-00-G110027</t>
  </si>
  <si>
    <t>T13-380-00-G111001</t>
  </si>
  <si>
    <t>T13-380-00-G111002</t>
  </si>
  <si>
    <t>T13-380-00-G111003</t>
  </si>
  <si>
    <t>T13-380-00-G111004</t>
  </si>
  <si>
    <t>T13-380-00-G111005</t>
  </si>
  <si>
    <t>T13-380-00-G111006</t>
  </si>
  <si>
    <t>T13-380-00-G111007</t>
  </si>
  <si>
    <t>T13-380-00-G111008</t>
  </si>
  <si>
    <t>T13-380-00-G111009</t>
  </si>
  <si>
    <t>T13-380-00-G111010</t>
  </si>
  <si>
    <t>T13-380-00-G111011</t>
  </si>
  <si>
    <t>T13-380-00-G111012</t>
  </si>
  <si>
    <t>T13-380-00-G111013</t>
  </si>
  <si>
    <t>T13-380-00-G111014</t>
  </si>
  <si>
    <t>T13-380-00-G111015</t>
  </si>
  <si>
    <t>T13-380-00-G111016</t>
  </si>
  <si>
    <t>T13-380-00-G111017</t>
  </si>
  <si>
    <t>T13-380-00-G111018</t>
  </si>
  <si>
    <t>T13-380-00-G111101</t>
  </si>
  <si>
    <t>T13-380-00-G111102</t>
  </si>
  <si>
    <t>T13-380-00-G111103</t>
  </si>
  <si>
    <t>T13-380-00-G111104</t>
  </si>
  <si>
    <t>T13-380-00-G111105</t>
  </si>
  <si>
    <t>T13-380-00-G111106</t>
  </si>
  <si>
    <t>T13-380-00-G111107</t>
  </si>
  <si>
    <t>T13-380-00-G111108</t>
  </si>
  <si>
    <t>T13-380-00-G111109</t>
  </si>
  <si>
    <t>T13-380-00-G111110</t>
  </si>
  <si>
    <t>T13-380-00-G111111</t>
  </si>
  <si>
    <t>T13-380-00-G111112</t>
  </si>
  <si>
    <t>T13-380-00-G111113</t>
  </si>
  <si>
    <t>T13-380-00-G111114</t>
  </si>
  <si>
    <t>T13-733-00-G200001</t>
  </si>
  <si>
    <t>T13-733-00-G200002</t>
  </si>
  <si>
    <t>T13-733-00-G200003</t>
  </si>
  <si>
    <t>T13-733-00-G200004</t>
  </si>
  <si>
    <t>T13-733-00-G200005</t>
  </si>
  <si>
    <t>T13-733-00-G200006</t>
  </si>
  <si>
    <t>T13-733-00-G200007</t>
  </si>
  <si>
    <t>T13-733-00-G200008</t>
  </si>
  <si>
    <t>T13-733-00-G200009</t>
  </si>
  <si>
    <t>T13-733-00-G200010</t>
  </si>
  <si>
    <t>T13-733-00-G200011</t>
  </si>
  <si>
    <t>T13-733-00-G210001</t>
  </si>
  <si>
    <t>T13-733-00-G210002</t>
  </si>
  <si>
    <t>T13-733-00-G210003</t>
  </si>
  <si>
    <t>T13-733-00-G210004</t>
  </si>
  <si>
    <t>T13-733-00-G210005</t>
  </si>
  <si>
    <t>T13-733-00-G210006</t>
  </si>
  <si>
    <t>T13-733-00-G210007</t>
  </si>
  <si>
    <t>T13-733-00-G210008</t>
  </si>
  <si>
    <t>T13-733-00-G210009</t>
  </si>
  <si>
    <t>T13-733-00-G210010</t>
  </si>
  <si>
    <t>T13-733-00-G210011</t>
  </si>
  <si>
    <t>T13-733-00-G210012</t>
  </si>
  <si>
    <t>T13-733-00-G210013</t>
  </si>
  <si>
    <t>T13-733-00-G210014</t>
  </si>
  <si>
    <t>T13-733-00-G210015</t>
  </si>
  <si>
    <t>T13-733-00-G210016</t>
  </si>
  <si>
    <t>T13-733-00-G210017</t>
  </si>
  <si>
    <t>T13-733-00-G210018</t>
  </si>
  <si>
    <t>T13-733-00-G210019</t>
  </si>
  <si>
    <t>T13-733-00-G211001</t>
  </si>
  <si>
    <t>T13-733-00-G211002</t>
  </si>
  <si>
    <t>T13-733-00-G211003</t>
  </si>
  <si>
    <t>T13-733-00-G211004</t>
  </si>
  <si>
    <t>T13-733-00-G211005</t>
  </si>
  <si>
    <t>T13-733-00-G211006</t>
  </si>
  <si>
    <t>T13-733-00-G211007</t>
  </si>
  <si>
    <t>T13-733-00-G211008</t>
  </si>
  <si>
    <t>T13-733-00-G211009</t>
  </si>
  <si>
    <t>T13-733-00-G211010</t>
  </si>
  <si>
    <t>T13-733-00-G211101</t>
  </si>
  <si>
    <t>T13-733-00-G211102</t>
  </si>
  <si>
    <t>T13-733-00-G211103</t>
  </si>
  <si>
    <t>T13-733-00-G211104</t>
  </si>
  <si>
    <t>T13-733-00-G211105</t>
  </si>
  <si>
    <t>T13-733-00-G211106</t>
  </si>
  <si>
    <t>T13-733-00-G211107</t>
  </si>
  <si>
    <t>T13-529-00-G300001</t>
  </si>
  <si>
    <t>T13-529-00-G300002</t>
  </si>
  <si>
    <t>T13-529-00-G300003</t>
  </si>
  <si>
    <t>T13-529-00-G300004</t>
  </si>
  <si>
    <t>T13-529-00-G300005</t>
  </si>
  <si>
    <t>T13-529-00-G310001</t>
  </si>
  <si>
    <t>T13-529-00-G310002</t>
  </si>
  <si>
    <t>T13-529-00-G310003</t>
  </si>
  <si>
    <t>T13-529-00-G310004</t>
  </si>
  <si>
    <t>T13-529-00-G310005</t>
  </si>
  <si>
    <t>T13-529-00-G310006</t>
  </si>
  <si>
    <t>T13-529-00-G310007</t>
  </si>
  <si>
    <t>T13-529-00-G310008</t>
  </si>
  <si>
    <t>T13-529-00-G310009</t>
  </si>
  <si>
    <t>T13-529-00-G310010</t>
  </si>
  <si>
    <t>T13-529-00-G310011</t>
  </si>
  <si>
    <t>T13-529-00-G310012</t>
  </si>
  <si>
    <t>T13-529-00-G310013</t>
  </si>
  <si>
    <t>T13-529-00-G310014</t>
  </si>
  <si>
    <t>T13-529-00-G310015</t>
  </si>
  <si>
    <t>T13-529-00-G310016</t>
  </si>
  <si>
    <t>T13-529-00-G310017</t>
  </si>
  <si>
    <t>T13-529-00-G310018</t>
  </si>
  <si>
    <t>T13-529-00-G310019</t>
  </si>
  <si>
    <t>T13-529-00-G310020</t>
  </si>
  <si>
    <t>T13-529-00-G310021</t>
  </si>
  <si>
    <t>T13-529-00-G310022</t>
  </si>
  <si>
    <t>T13-529-00-G310023</t>
  </si>
  <si>
    <t>T13-529-00-G310024</t>
  </si>
  <si>
    <t>T13-551-00-G400001</t>
  </si>
  <si>
    <t>T13-551-00-G400002</t>
  </si>
  <si>
    <t>T13-551-00-G400003</t>
  </si>
  <si>
    <t>T13-720-00-G411007</t>
  </si>
  <si>
    <t>T13-720-00-G500001</t>
  </si>
  <si>
    <t>T13-720-00-G500002</t>
  </si>
  <si>
    <t>T13-720-00-G500003</t>
  </si>
  <si>
    <t>T13-720-00-G500004</t>
  </si>
  <si>
    <t>material cost (lab)</t>
  </si>
  <si>
    <t>Apertura y descripción de muestra</t>
  </si>
  <si>
    <t>Apertura y descripción de muestra de suelo, roca y/o áridos</t>
  </si>
  <si>
    <t>Preparación muestras ensayos de suelos</t>
  </si>
  <si>
    <t>Preparación de muestras para ensayos de suelos UNE 103-100-95</t>
  </si>
  <si>
    <t>Remoldeo de pastilla para ensayo</t>
  </si>
  <si>
    <t>Remoldeo pastilla ensayo edométrico o CD o colapso o hinchamiento libre</t>
  </si>
  <si>
    <t>Remoldeo de una probeta para ensayo</t>
  </si>
  <si>
    <t>Remoldeo probeta para rotura a CS o triaxial o permeabilidad de 1,5 pulgadas</t>
  </si>
  <si>
    <t>Tallado muestra recibida en bloque</t>
  </si>
  <si>
    <t>Tallado de muestra recibida en bloque parafinado</t>
  </si>
  <si>
    <t>Tallado de muestra de testigo de sondeo</t>
  </si>
  <si>
    <t>Preparación fracciones-mezcla materiales</t>
  </si>
  <si>
    <t>Preparación fracciones-mezcla materiales granulares para ensayo de compactación</t>
  </si>
  <si>
    <t>Molido muestra salida de tamiz 0,080 UNE</t>
  </si>
  <si>
    <t>Molido de muestra con 60 g de salida de tamiz 0,080 UNE</t>
  </si>
  <si>
    <t>Determinación humedad secado estufa</t>
  </si>
  <si>
    <t>Determinación de la humedad de un suelo mediante secado en estufa UNE 103-300-93</t>
  </si>
  <si>
    <t>Determinación de la densidad de un suelo</t>
  </si>
  <si>
    <t>Determinación densidad suelo. Método de la balanza hidrostática UNE 103-301-94</t>
  </si>
  <si>
    <t>Determinación Límites de Atterberg</t>
  </si>
  <si>
    <t xml:space="preserve">Determinación Límites de Atterberg UNE 103-103-94 y 103-104-93 </t>
  </si>
  <si>
    <t>Comprobación de no plasticidad</t>
  </si>
  <si>
    <t xml:space="preserve">Comprobación de  no plasticidad UNE 103-104-93. NLT 106 </t>
  </si>
  <si>
    <t>Contenido de yeso en suelos (NLT-115/99)</t>
  </si>
  <si>
    <t>Análisis granulométrico suelos tamizado</t>
  </si>
  <si>
    <t>Análisis granulométrico de suelos por tamizado UNE 103-101-95</t>
  </si>
  <si>
    <t>Análisis granulométrico tamizado zahorra</t>
  </si>
  <si>
    <t>Análisis granulométrico por tamizado en zahorras UNE 103101. NLT 104</t>
  </si>
  <si>
    <t>Análisis granulométrico gruesos y finos</t>
  </si>
  <si>
    <t>Análisis granulométrico por tamizado  de gruesos y finos UNE 103101. NLT 104</t>
  </si>
  <si>
    <t>Análisis granulométrico sedimentación</t>
  </si>
  <si>
    <t>Análisis granulométrico por sedimentación UNE 103102</t>
  </si>
  <si>
    <t>Material que pasa por el tamiz 0,080</t>
  </si>
  <si>
    <t>Material que pasa por el tamiz 0,080 UNE. UNE-7135</t>
  </si>
  <si>
    <t>Ensayo dispersabilidad - PIN HOLE</t>
  </si>
  <si>
    <t>Ensayo de dispersabilidad por tubificación (PIN HOLE) NLT-207</t>
  </si>
  <si>
    <t>Valoración arcillas azul de metileno</t>
  </si>
  <si>
    <t>Valoración arcillas en materiales finos por medio del azul de metileno UNE 83130</t>
  </si>
  <si>
    <t>Determinación del Equivalente de arena</t>
  </si>
  <si>
    <t>Determinación del Equivalente de una arena UNE 103109. NLT 113</t>
  </si>
  <si>
    <t>Determinación peso específico</t>
  </si>
  <si>
    <t>Determinación densidad relativa partículas suelo, peso específico UNE 103-302-94</t>
  </si>
  <si>
    <t>Determinación porosidad de un terreno</t>
  </si>
  <si>
    <t>Determinación de la porosidad de un terreno UNE 7045</t>
  </si>
  <si>
    <t>Ensayo de colapso en suelos NLT 254/99</t>
  </si>
  <si>
    <t>Determinación expansividad suelo Lambe</t>
  </si>
  <si>
    <t>Determinación de la expansividad de un suelo en aparato Lambe. UNE 103-600-96</t>
  </si>
  <si>
    <t>Permeabilidad carga constante granulares</t>
  </si>
  <si>
    <t>Permeabilidad bajo carga constante en suelos granulares UNE 103403</t>
  </si>
  <si>
    <t>Permeabilidad aparato triaxial</t>
  </si>
  <si>
    <t>Permeabilidad con presión en cola en célula de 1,5 pulgadas (aparato triaxial)</t>
  </si>
  <si>
    <t>Compactación probeta mini Haward</t>
  </si>
  <si>
    <t>Compactación de probeta en molde mini Haward</t>
  </si>
  <si>
    <t>Ensayo compactación. Proctor Normal</t>
  </si>
  <si>
    <t>Ensayo de compactación. Proctor Normal UNE 103-500-94</t>
  </si>
  <si>
    <t>Ensayo compactación. Proctor Modificado</t>
  </si>
  <si>
    <t>Ensayo de compactación. Proctor Modificado UNE 103-501-94</t>
  </si>
  <si>
    <t>Índice C.B.R. proctor Normal</t>
  </si>
  <si>
    <t>Indice C.B.R. de un suelo con energía proctor Normal UNE 103-502-95</t>
  </si>
  <si>
    <t>Índice C.B.R. proctor Modificado</t>
  </si>
  <si>
    <t>Indice C.B.R. de un suelo con energía proctor Modificado UNE 103-502-95</t>
  </si>
  <si>
    <t>Densidad mínima de una arena</t>
  </si>
  <si>
    <t xml:space="preserve">Densidad mínima de una arena  UNE 103105. NLT 204 </t>
  </si>
  <si>
    <t>Densidad máxima arena método apisonado</t>
  </si>
  <si>
    <t xml:space="preserve">Densidad máxima de una arena por el método del apisonado UNE 103105. NLT 204 </t>
  </si>
  <si>
    <t>Clasificación suelo USCS-HRB-ASTM</t>
  </si>
  <si>
    <t>Clasificación de un suelo según USCS-HRB. ASTM-D 2487/00</t>
  </si>
  <si>
    <t>Ensayo rotura compresión simple</t>
  </si>
  <si>
    <t>Ensayo de rotura a compresión simple en probetas de suelo UNE 103-400-93</t>
  </si>
  <si>
    <t>CD Sin consolidar y sin drenaje (UU)</t>
  </si>
  <si>
    <t>Corte directo . Sin consolidar y sin drenaje (UU). UNE 103-401-98</t>
  </si>
  <si>
    <t>CD Consolidado y sin drenaje (CU)</t>
  </si>
  <si>
    <t>Corte directo . Sin consolidar y sin drenaje (CU). UNE 103-401-98</t>
  </si>
  <si>
    <t>CD Consolidado y drenado (CD)</t>
  </si>
  <si>
    <t>Corte directo . Sin consolidar y sin drenaje (CD). UNE 103-401-98</t>
  </si>
  <si>
    <t>Edómetro UNE 103-405-94</t>
  </si>
  <si>
    <t>Ensayo de consolidación unidimensional de un suelo en edómetro UNE 103-405-94</t>
  </si>
  <si>
    <t>Consolidación en edómetro</t>
  </si>
  <si>
    <t>Edómetro UNE 103405 (8 escalones de carga y 3 de  descarga)</t>
  </si>
  <si>
    <t>Escalón carga adicional edómetro</t>
  </si>
  <si>
    <t>Escalón de carga adicional en ensayo edométrico</t>
  </si>
  <si>
    <t>Espera consolidación escalón/día</t>
  </si>
  <si>
    <t>Espera para consolidación secundaria por cada escalón / día</t>
  </si>
  <si>
    <t>Ensayo edométrico célula de Rowe (10")</t>
  </si>
  <si>
    <t>Ensayo edométrico en célula de Rowe (10")</t>
  </si>
  <si>
    <t>Hinchamiento libre en edómetro</t>
  </si>
  <si>
    <t>Ensayo de hinchamiento libre de un suelo en edómetro UNE 103-601-96</t>
  </si>
  <si>
    <t>Presión hinchamiento suelo edómetro</t>
  </si>
  <si>
    <t>Presión de hinchamiento de un suelo en edómetro UNE 103-602-96</t>
  </si>
  <si>
    <t>Parámetros resistentes triaxial UU</t>
  </si>
  <si>
    <t>Triaxial UNE 103-402-98 (UU sin consolidación previa y rotura sin drenaje)</t>
  </si>
  <si>
    <t>Triaxial UU</t>
  </si>
  <si>
    <t>Triaxial UU - 3 probetas UNE 103402</t>
  </si>
  <si>
    <t>Parámetros resistentes triaxial CU</t>
  </si>
  <si>
    <t>Triaxial CU - 3 probetas UNE 103-402-98</t>
  </si>
  <si>
    <t>Triaxial CU</t>
  </si>
  <si>
    <t>Triaxial CU - 3 probetas UNE 103402 medida de presiones Intersticiales</t>
  </si>
  <si>
    <t>Parámetros resistentes triaxial CD</t>
  </si>
  <si>
    <t>Triaxial CD - 3 probetas UNE 103-402-98</t>
  </si>
  <si>
    <t>Ensayo consolidación carga constante</t>
  </si>
  <si>
    <t>Ensayo de consolidación bajo carga constante</t>
  </si>
  <si>
    <t>Penetrometro de bolsillo</t>
  </si>
  <si>
    <t>Carbonatos suelos (método Bernard)</t>
  </si>
  <si>
    <t>Carbonatos en los suelos (método del calcímetro de Bernard) UNE 103-200-93</t>
  </si>
  <si>
    <t>Cualitativa de carbonatos</t>
  </si>
  <si>
    <t>Determinación cualitativa de carbonatos</t>
  </si>
  <si>
    <t xml:space="preserve">Materia orgánica oxidable UNE103-204-93 </t>
  </si>
  <si>
    <t xml:space="preserve">Materia orgánica oxidable suelo método permanganato potásico UNE 103-204-93 </t>
  </si>
  <si>
    <t>Cualitativa sulfatos solubles</t>
  </si>
  <si>
    <t>Contenido cualitativo sulfatos solubles de un suelo UNE 103-202-95</t>
  </si>
  <si>
    <t>Sulfatos en suelos ANEJO 5 EHE 98</t>
  </si>
  <si>
    <t>Determinación del contenido de sulfatos en suelos ANEJO 5 EHE 98</t>
  </si>
  <si>
    <t>Sulfatos solubles en ácido UNE EN 1744-1</t>
  </si>
  <si>
    <t>Determinación del contenido de sulfatos solubles en ácido UNE EN 1744-1</t>
  </si>
  <si>
    <t>Determinación de pH en suelos</t>
  </si>
  <si>
    <t>Determinación sales solubles. NLT 114/99</t>
  </si>
  <si>
    <t>Determinación de sales solubles. NLT 114/99</t>
  </si>
  <si>
    <t>Acidez Baumann-Gully ANEJO 5 EHE 98</t>
  </si>
  <si>
    <t>Determinación de la Acidez Baumann-Gully ANEJO 5 EHE 98</t>
  </si>
  <si>
    <t>Materia orgánica, agua oxigenada</t>
  </si>
  <si>
    <t>Contenido en materia orgánica, método del agua oxigenada UNE 7368/77</t>
  </si>
  <si>
    <t>Materia orgánica, método del dicromato</t>
  </si>
  <si>
    <t>Contenido en materia orgánica, método del dicromato NLT 118/59 y UNE 103-204-93</t>
  </si>
  <si>
    <t>Determinación de cloruros en suelos</t>
  </si>
  <si>
    <t>Determinación de sulfuros</t>
  </si>
  <si>
    <t>Agresividad suelo Anejo 5 de la EHE</t>
  </si>
  <si>
    <t>Determinación de la agresividad de un suelo según el Anejo 5 de la EHE</t>
  </si>
  <si>
    <t>Apertura y descripción muestra</t>
  </si>
  <si>
    <t>Preparación general muestras</t>
  </si>
  <si>
    <t>Preparación general de muestras para ensayos</t>
  </si>
  <si>
    <t>Preparación probeta</t>
  </si>
  <si>
    <t>Preparación probeta para ensayos a CS a partir de testigos (tallado)</t>
  </si>
  <si>
    <t>Preparación probeta brasileño</t>
  </si>
  <si>
    <t>Preparación de una probeta para ensayo brasileño a partir de testigos</t>
  </si>
  <si>
    <t>Preparación muestra corte directo roca</t>
  </si>
  <si>
    <t>Preparación de muestra para ensayo de corte directo (hormigonado)</t>
  </si>
  <si>
    <t>Tallado probeta cúbica 7 x 7 x 7 cm</t>
  </si>
  <si>
    <t>Tallado de probeta cúbica 7 x 7 x 7 cms. a partir de bloque</t>
  </si>
  <si>
    <t>Machaqueo de muestras &lt; 25 Kg</t>
  </si>
  <si>
    <t>Machaqueo muestras entre 25 Kg  y 50 Kg</t>
  </si>
  <si>
    <t>Machaqueo de muestras entre 25 Kg  y 50 Kg</t>
  </si>
  <si>
    <t>Extracción testigos 48 mm. Bloques</t>
  </si>
  <si>
    <t>Extracción testigos de 40 cm longitud y 48 mm diámetro a partir de bloques</t>
  </si>
  <si>
    <t>Extracción testigos 48 mm. Testigos</t>
  </si>
  <si>
    <t>Extracción testigos de 40 cm longitud y 48 mm diámetro a partir de testigos</t>
  </si>
  <si>
    <t>Molido muestra salida tamiz 0,080</t>
  </si>
  <si>
    <t>Humedad natural UNE 7328; NLT 102/72</t>
  </si>
  <si>
    <t>Densidad real</t>
  </si>
  <si>
    <t>Densidad aparente NLT 156/72</t>
  </si>
  <si>
    <t>Determinación de la porosidad</t>
  </si>
  <si>
    <t>Coeficiente desgaste Los Angeles</t>
  </si>
  <si>
    <t>Determinación del coeficiente de desgaste Los Angeles. UNE 83116. NLT 149</t>
  </si>
  <si>
    <t>Estudio petrográfico lámina delgada</t>
  </si>
  <si>
    <t>Estudio petrográfico mediante lámina delgada</t>
  </si>
  <si>
    <t>Estudio petrográfico recuento mineral</t>
  </si>
  <si>
    <t>Estudio petrográfico con recuento mineralógico</t>
  </si>
  <si>
    <t>Determinación minerales metálicos</t>
  </si>
  <si>
    <t>Determinación de especies mineralógicas de ópacos (minerales metálicos)</t>
  </si>
  <si>
    <t>Difracción de Rayos X</t>
  </si>
  <si>
    <t>Determinación de elementos mediante Difracción de Rayos X</t>
  </si>
  <si>
    <t>Fotografía lámina delgada (ud)</t>
  </si>
  <si>
    <t>Ensayo de durabilidad SDT</t>
  </si>
  <si>
    <t>Ensayo de durabilidad SDT (Slake Durability Test) NLT 251</t>
  </si>
  <si>
    <t>Indice Schimazec+lámina+brasileño</t>
  </si>
  <si>
    <t>Determinación Indice de Schimazec + lámina + brasileño (sin fotografía)</t>
  </si>
  <si>
    <t>Velocidad sónica en laboratorio</t>
  </si>
  <si>
    <t>Índice de dureza Cerchar</t>
  </si>
  <si>
    <t>Índice de Abrasividad Cerchar</t>
  </si>
  <si>
    <t>Indice D.R.I. (Drilling Rate  Index)</t>
  </si>
  <si>
    <t>Índice de Lutton</t>
  </si>
  <si>
    <t>Absorción y peso específico aparente</t>
  </si>
  <si>
    <t>Índice de dureza (esclerómetro Schmidt)</t>
  </si>
  <si>
    <t>Compresión uniaxial roca</t>
  </si>
  <si>
    <t>Compresión simple de una probeta de roca) UNE 22-950-90/1</t>
  </si>
  <si>
    <t>Compresión simple módulo de Young</t>
  </si>
  <si>
    <t>Compresión simple roca con módulo Young. UNE 22-950-90/3. Banda a 350 ohmios</t>
  </si>
  <si>
    <t>Compresión simple módulo Young y Poisson</t>
  </si>
  <si>
    <t>Compresión simple roca - módulo Young y Poisson. UNE 22-950-90/3</t>
  </si>
  <si>
    <t>C. simple Young y Poisson carga-descarga</t>
  </si>
  <si>
    <t>CSR con módulo Young y Poisson con ciclos de carga y descarga. UNE 22-950-90/3</t>
  </si>
  <si>
    <t>Ensayo Brasileño</t>
  </si>
  <si>
    <t>Ensayo Brasileño. UNE 22-950-90/2</t>
  </si>
  <si>
    <t>Carga puntual (Point Load Test)</t>
  </si>
  <si>
    <t>Ensayo de resistencia a carga puntual (Point Load Test) UNE 22950-5-96</t>
  </si>
  <si>
    <t>Rotura 10 muestras prensa Franklin</t>
  </si>
  <si>
    <t>Rotura 10 muestras en prensa Franklin. NLT 252</t>
  </si>
  <si>
    <t>Triaxial de una probeta de roca</t>
  </si>
  <si>
    <t>Resistencia a la compresión Triaxial de una probeta de roca UNE 22-950-92/4</t>
  </si>
  <si>
    <t>Célula de Hoek. Resistencia pico</t>
  </si>
  <si>
    <t>Corte roca diaclasas naturales o inducidas, resistencia pico. Célula de Hoek</t>
  </si>
  <si>
    <t>Célula Hoek. Resistencia pico y residual</t>
  </si>
  <si>
    <t>Corte roca diaclasas, resistencia de pico/residual. Célula de Hoek.</t>
  </si>
  <si>
    <t>Peso específico, absorción y porosidad</t>
  </si>
  <si>
    <t>Peso específico, absorción y porosidad en tres probetas. UNE 22172 y 22182</t>
  </si>
  <si>
    <t>Desgaste por rozamiento en dos probetas</t>
  </si>
  <si>
    <t>Resistencia al desgaste por rozamiento en dos probetas. UNE 22173 y 22183</t>
  </si>
  <si>
    <t>Resistencia a flexión (6 probetas)</t>
  </si>
  <si>
    <t>Resistencia a flexión UNE 22186 (6 probetas)</t>
  </si>
  <si>
    <t>Resistencia a compresión (6 probetas)</t>
  </si>
  <si>
    <t>Resistencia a compresión UNE 22185 (6 probetas)</t>
  </si>
  <si>
    <t>Heladicidad (3 probetas)</t>
  </si>
  <si>
    <t>Resistencia a las heladas -heladicidad- UNE 22174 y 22184 (3 probetas)</t>
  </si>
  <si>
    <t>Resistencia cambios térmicos 4 probetas</t>
  </si>
  <si>
    <t>Resistencia a los cambios térmicos UNE 22197 (4 probetas)</t>
  </si>
  <si>
    <t>Resistencia choque (impacto) 4 probetas</t>
  </si>
  <si>
    <t>Resistencia al choque (impacto) UNE 22179 y 22189 (4 probetas)</t>
  </si>
  <si>
    <t>Apertura y descripción</t>
  </si>
  <si>
    <t>Preparación de muestras para ensayos</t>
  </si>
  <si>
    <t>Molido de muestra tamiz 0,080</t>
  </si>
  <si>
    <t>Determinación de terrones de arcilla</t>
  </si>
  <si>
    <t>Determinación de terrones de arcilla UNE 7133</t>
  </si>
  <si>
    <t>Partículas blandas en áridos gruesos</t>
  </si>
  <si>
    <t>Determinación de partículas blandas en áridos gruesos UNE 7134</t>
  </si>
  <si>
    <t>Compuestos azufre áridos cuantitativa</t>
  </si>
  <si>
    <t>Determinación cuantitativa de los compuestos de azufre  en los áridos UNE 83120</t>
  </si>
  <si>
    <t>Materia orgánica en arenas. UNE 7082</t>
  </si>
  <si>
    <t>Determinación de materia orgánica en arenas. UNE 7082</t>
  </si>
  <si>
    <t>Equivalente de arena en áridos UNE 83131</t>
  </si>
  <si>
    <t>Determinación del equivalente de arena en áridos UNE 83131</t>
  </si>
  <si>
    <t>Ensayo del azul de metileno UNE-EN 933-9</t>
  </si>
  <si>
    <t>Reactividad con álcalis del cemento</t>
  </si>
  <si>
    <t>Determinación de la reactividad con los álcalis del cemento UNE 146507</t>
  </si>
  <si>
    <t>Reactividad álcali-sílice UNE 146507</t>
  </si>
  <si>
    <t>Coeficiente friabilidad arena microdeval</t>
  </si>
  <si>
    <t>Medida coeficiente de friabilidad de las arenas, microdeval. UNE 83-115-89</t>
  </si>
  <si>
    <t>Coeficiente friabilidad de los áridos</t>
  </si>
  <si>
    <t>Coeficiente friabilidad de los áridos. NLT-351</t>
  </si>
  <si>
    <t>Los Ángeles en muestra machacada</t>
  </si>
  <si>
    <t>Determinación coeficiente Los Ángeles en muestra machacada UNE 83116 NLT 149</t>
  </si>
  <si>
    <t>Densidad, absorción y humedad árido fino</t>
  </si>
  <si>
    <t>Densidad , coeficiente absorción y contenido agua áridos finos UNE 83133 NLT 154</t>
  </si>
  <si>
    <t>Dens., poro., absorción y W árido grueso</t>
  </si>
  <si>
    <t>Densidad , poro., coef. Absor. y cont. agua en áridos gruesos UNE 83134 NLT 153</t>
  </si>
  <si>
    <t>Estabilidad disoluciones SO4Na - SO4Mg</t>
  </si>
  <si>
    <t>Estabilidad frente a  disoluciones sulfato Na o Mg UNE-EN 1367-2.NLT 158</t>
  </si>
  <si>
    <t>Determinación del coeficiente de forma</t>
  </si>
  <si>
    <t>Determinación del coeficiente de forma UNE 7238</t>
  </si>
  <si>
    <t>Estabilidad áridos-roca desmoronamiento</t>
  </si>
  <si>
    <t>Estabilidad áridos y fragmentos roca frente desmoronamiento en agua. NLT-255/99</t>
  </si>
  <si>
    <t>Contenido finos pasan por el tamiz 0,080</t>
  </si>
  <si>
    <t>Determinación contenido de finos que pasan por el tamiz 0,080. UNE 7135</t>
  </si>
  <si>
    <t>Análisis granulométrico gravas</t>
  </si>
  <si>
    <t>Análisis granulométrico gravas UNE 7376 UNE-EN 933-2</t>
  </si>
  <si>
    <t>Coeficiente de pulido acelerado (CPA)</t>
  </si>
  <si>
    <t>Coeficiente de pulido acelerado (CPA). NLT 174</t>
  </si>
  <si>
    <t>Índice de lajas y agujas de los áridos</t>
  </si>
  <si>
    <t>Índice de lajas y agujas de los áridos UNE-EN 933-2.NLT-354</t>
  </si>
  <si>
    <t>Caras de fractura</t>
  </si>
  <si>
    <t>Proporción  del árido grueso que presentan dos o más caras de fractura. NLT 358</t>
  </si>
  <si>
    <t>Adhesividad áridos gruesos en agua</t>
  </si>
  <si>
    <t>Adhesividad de los áridos gruesos en presencia de agua. NLT-166</t>
  </si>
  <si>
    <t>Estabilidad áridos-roca humedad-sequedad</t>
  </si>
  <si>
    <t>Estabilidad áridos y fragmentos roca frente acción humedad-sequedad. NLT-260/99</t>
  </si>
  <si>
    <t>Coeficiente de limpieza superficial</t>
  </si>
  <si>
    <t>Coeficiente de limpieza superficial. NLT-172/86</t>
  </si>
  <si>
    <t>Análisis standard</t>
  </si>
  <si>
    <t>Análisis Standard agua</t>
  </si>
  <si>
    <t>Análisis de agresividad EHE-98</t>
  </si>
  <si>
    <t>Análisis de agresividad de las aguas al hormigón según norma EHE-98.</t>
  </si>
  <si>
    <t>Análisis de agresividad EHE-91</t>
  </si>
  <si>
    <t>Análisis de agresividad de las aguas al hormigón según norma EHE-91.</t>
  </si>
  <si>
    <t>Ensayo de carga de terrenos con placa</t>
  </si>
  <si>
    <t>Inundación Bajo Carga</t>
  </si>
  <si>
    <t>Índice de Lajas. UNE-EN 933-3:1997.</t>
  </si>
  <si>
    <t>Resistencia al desgaste (Micro-Deval)</t>
  </si>
  <si>
    <t>Resistencia al desgaste (Micro-Deval). UNE-EN 1097-1.</t>
  </si>
  <si>
    <t>Coeficiente de friabilidad de las arenas</t>
  </si>
  <si>
    <t>Coeficiente de friabilidad de las arenas. UNE 83-115-89.</t>
  </si>
  <si>
    <t>max. 40 Characters</t>
  </si>
  <si>
    <t>max. 80 Characters</t>
  </si>
  <si>
    <t>Sample opening and description</t>
  </si>
  <si>
    <t>Opening and description of soil, rock and/or aggregate samples</t>
  </si>
  <si>
    <t>Soil test sample preparation</t>
  </si>
  <si>
    <t>Sample preparation for soil tests UNE 103-100-95</t>
  </si>
  <si>
    <t>Test tablet topping</t>
  </si>
  <si>
    <t>Edometric/CD/collapse/free swelling test tablet remoulding</t>
  </si>
  <si>
    <t>Swirling of a test specimen</t>
  </si>
  <si>
    <t>Remoulding of specimen for CS or triaxial breakage or 1.5 inch permeability</t>
  </si>
  <si>
    <t>Carving of a sample received as a block</t>
  </si>
  <si>
    <t>Carving of specimen received in paraffin block</t>
  </si>
  <si>
    <t>Cutting of core samples</t>
  </si>
  <si>
    <t>Carving of core sample</t>
  </si>
  <si>
    <t>Preparation of fractions-mixed materials</t>
  </si>
  <si>
    <t>Preparation of granular material mix-fractions for compaction test</t>
  </si>
  <si>
    <t>Grinding sample coming out 0.080UNEsieve</t>
  </si>
  <si>
    <t>Grinding of sample with 60 g output of 0.080 UNE sieve</t>
  </si>
  <si>
    <t>Moisture determination oven-drying</t>
  </si>
  <si>
    <t>Determination of the humidity of a soil by drying in an oven UNE 103-300-93</t>
  </si>
  <si>
    <t>Determination of the density of a soil</t>
  </si>
  <si>
    <t>Determination of soil density. Hydrostatic balance method UNE 103-301-94</t>
  </si>
  <si>
    <t>Determination of Atterberg limits</t>
  </si>
  <si>
    <t xml:space="preserve">Determination of Atterberg Limits UNE 103-103-94 y 103-104-93 </t>
  </si>
  <si>
    <t>Non-plasticity test</t>
  </si>
  <si>
    <t xml:space="preserve">Verification of non-plasticity UNE 103-104-93. NLT 106 </t>
  </si>
  <si>
    <t>Gypsum content in soils (NLT-115/99)</t>
  </si>
  <si>
    <t>Sieve sieve analysis of soils</t>
  </si>
  <si>
    <t>Particle-size analysis of soils by sieving UNE 103-101-95.</t>
  </si>
  <si>
    <t>Sieve particle size analysis of gravel</t>
  </si>
  <si>
    <t>Grain-size analysis by sieving in gravel UNE 103101. NLT 104</t>
  </si>
  <si>
    <t>Coarse and fine particle size analysis</t>
  </si>
  <si>
    <t>Sieve particle size analysis of coarse and fine gravel UNE 103101. NLT 104</t>
  </si>
  <si>
    <t>Grain-size analysis sedimentation</t>
  </si>
  <si>
    <t>Particle-size analysis by sedimentation UNE 103102</t>
  </si>
  <si>
    <t>Material passing through the 0,080 sieve</t>
  </si>
  <si>
    <t>Material passing through the 0.080 sieve UNE. UNE-7135</t>
  </si>
  <si>
    <t>Dispersibility test - PIN HOLE</t>
  </si>
  <si>
    <t>Dispersibility test by tubification (PIN HOLE) NLT-207</t>
  </si>
  <si>
    <t>Evaluation of methylene blue clays</t>
  </si>
  <si>
    <t>Evaluation of clays in fine materials by means of methylene blue UNE 83130</t>
  </si>
  <si>
    <t>Determination of sand equivalent</t>
  </si>
  <si>
    <t>Determination of the Equivalent of a sand UNE 103109 NLT 113</t>
  </si>
  <si>
    <t>Determination of specific weight</t>
  </si>
  <si>
    <t>Determination of rel. density of soil particles/specific weight UNE103-302-94</t>
  </si>
  <si>
    <t>Determination of soil porosity</t>
  </si>
  <si>
    <t>Determination of the porosity of a soil UNE 7045.</t>
  </si>
  <si>
    <t>Soil collapse test NLT 254/99</t>
  </si>
  <si>
    <t>Determination of soil expansivity Lambe</t>
  </si>
  <si>
    <t>Determination of the expansivity of a soil in Lambe apparatus. UNE 103-600-96</t>
  </si>
  <si>
    <t>Permeability of granular constant load</t>
  </si>
  <si>
    <t>Permeability under constant load in granular soils UNE 103403</t>
  </si>
  <si>
    <t>Permeability triaxial apparatus</t>
  </si>
  <si>
    <t>Permeability with glue pressure in a 1.5 inch cell (triaxial apparatus).</t>
  </si>
  <si>
    <t>Compaction mini Haward test tube</t>
  </si>
  <si>
    <t>Compaction of test specimen in mini Haward moulds</t>
  </si>
  <si>
    <t>Compaction test. Normal Proctor</t>
  </si>
  <si>
    <t>Compaction test. Normal Proctor UNE 103-500-94</t>
  </si>
  <si>
    <t>Compaction test. Modified Proctor</t>
  </si>
  <si>
    <t>Compaction test. Modified Proctor UNE 103-501-94</t>
  </si>
  <si>
    <t>C.B.R. Normal proctor index</t>
  </si>
  <si>
    <t>C.B.R. Index of a soil with Normal proctor energy UNE 103-502-95</t>
  </si>
  <si>
    <t>Modified C.B.R. proctor index</t>
  </si>
  <si>
    <t>C.B.R. Index of a soil with Modified proctor energy UNE 103-502-95</t>
  </si>
  <si>
    <t>Minimum density of a sand</t>
  </si>
  <si>
    <t xml:space="preserve">Minimum density of a sand UNE 103105. NLT 204 </t>
  </si>
  <si>
    <t>Maximum density of sand by tamped method</t>
  </si>
  <si>
    <t xml:space="preserve">Maximum density of a sand by the tamping method UNE 103105. NLT 204 </t>
  </si>
  <si>
    <t>USCS-HRB-ASTM soil classification</t>
  </si>
  <si>
    <t>Classification of a soil according to USCS-HRB. ASTM-D 2487/00</t>
  </si>
  <si>
    <t>Simple compression burst test</t>
  </si>
  <si>
    <t>Simple compression rupture test on soil specimens UNE 103-400-93.</t>
  </si>
  <si>
    <t>CD Unconsolidated and undrained (UU)</t>
  </si>
  <si>
    <t>Direct shear . Unconsolidated and undrained (UU). UNE 103-401-98</t>
  </si>
  <si>
    <t>CD Consolidated and undrained (CU)</t>
  </si>
  <si>
    <t>Direct shear . Unconsolidated and without drainage (CU). UNE 103-401-98</t>
  </si>
  <si>
    <t>CD Consolidated and drained (CD)</t>
  </si>
  <si>
    <t>Direct cut . Unconsolidated and without drainage (CD). UNE 103-401-98</t>
  </si>
  <si>
    <t>Oedometer UNE 103-405-94</t>
  </si>
  <si>
    <t>One-dimensional consolidation test of a soil in a UNE 103-405-94 oedometer.</t>
  </si>
  <si>
    <t>Consolidation in oedometer</t>
  </si>
  <si>
    <t>UNE 103405 oedometer (8 loading and 3 unloading steps).</t>
  </si>
  <si>
    <t>Step additional load on oedometer</t>
  </si>
  <si>
    <t>Additional loading step in edometric test</t>
  </si>
  <si>
    <t>Waiting consolidation step/day</t>
  </si>
  <si>
    <t>Waiting for secondary consolidation for each step / day</t>
  </si>
  <si>
    <t>Oedometric test Rowe cell (10")</t>
  </si>
  <si>
    <t>Oedometric test in Rowe cell (10")</t>
  </si>
  <si>
    <t>Free swelling in oedometer</t>
  </si>
  <si>
    <t>Free swelling test of a soil in oedometer UNE 103-601-96</t>
  </si>
  <si>
    <t>Soil swelling pressure oedometer</t>
  </si>
  <si>
    <t>Swelling pressure of a soil in an oedometer UNE 103-602-96</t>
  </si>
  <si>
    <t>Resistance parameters triaxial UU</t>
  </si>
  <si>
    <t>Triaxial UNE 103-402-98(UU without previous consolidation&amp;rupture none drainage)</t>
  </si>
  <si>
    <t>Triaxial UU - 3 specimens UNE 103402</t>
  </si>
  <si>
    <t>Triaxial CU strength parameters</t>
  </si>
  <si>
    <t>Triaxial CU - 3 test specimens UNE 103-402-98</t>
  </si>
  <si>
    <t>Triaxial CU - 3 specimens UNE 103402 measurement of Interstitial pressures</t>
  </si>
  <si>
    <t>Triaxial strength parameters CD</t>
  </si>
  <si>
    <t>Triaxial CD - 3 specimens UNE 103-402-98</t>
  </si>
  <si>
    <t>Constant load consolidation test</t>
  </si>
  <si>
    <t>Consolidation test under constant load</t>
  </si>
  <si>
    <t>Pocket Penetrometer</t>
  </si>
  <si>
    <t>Soil carbonates (Bernard method)</t>
  </si>
  <si>
    <t>Carbonates in soils (Bernard calcimeter method) UNE 103-200-93</t>
  </si>
  <si>
    <t>Qualitative carbonates</t>
  </si>
  <si>
    <t>Qualitative determination of carbonates</t>
  </si>
  <si>
    <t xml:space="preserve">Oxidisable organic matter UNE103-204-93 </t>
  </si>
  <si>
    <t xml:space="preserve">Soil oxidisable organic matter potassium permanganate method UNE 103-204-93 </t>
  </si>
  <si>
    <t>Qualitative soluble sulphates</t>
  </si>
  <si>
    <t>Qualitative soluble sulphate content of a soil UNE 103-202-95</t>
  </si>
  <si>
    <t>Sulphates in soils ANNEX 5 EHE 98</t>
  </si>
  <si>
    <t>Determination of sulphate content in soils ANNEX 5 EHE 98</t>
  </si>
  <si>
    <t>Acid soluble sulphates UNE EN 1744-1</t>
  </si>
  <si>
    <t>Determination of acid soluble sulphate content UNE EN 1744-1</t>
  </si>
  <si>
    <t>Determination of pH in soils</t>
  </si>
  <si>
    <t>Determination of soluble salts. NLT 114/99</t>
  </si>
  <si>
    <t>Acidity Baumann-Gully ANNEX 5 EHE 98</t>
  </si>
  <si>
    <t>Determination of Baumann-Gully Acidity ANNEX 5 EHE 98</t>
  </si>
  <si>
    <t>Organic matter, hydrogen peroxide</t>
  </si>
  <si>
    <t>Organic matter content, hydrogen peroxide method UNE 7368/77</t>
  </si>
  <si>
    <t>Organic matter, dichromate method</t>
  </si>
  <si>
    <t>Organic matter content, dichromate method NLT 118/59 and UNE 103-204-93</t>
  </si>
  <si>
    <t>Determination of chlorides in soils</t>
  </si>
  <si>
    <t>Determination of sulphides</t>
  </si>
  <si>
    <t>Soil aggressivity Annex 5 of the EHE</t>
  </si>
  <si>
    <t>Determination of the aggressivity of a soil according to Annex 5 of the EHE</t>
  </si>
  <si>
    <t>General sample preparation</t>
  </si>
  <si>
    <t>General sample preparation for testing</t>
  </si>
  <si>
    <t>Sample preparation</t>
  </si>
  <si>
    <t>Preparation of specimen for CS testing from core samples (cutting)</t>
  </si>
  <si>
    <t>Brazilian sample preparation</t>
  </si>
  <si>
    <t>Preparation of a specimen for Brazilian test from core samples</t>
  </si>
  <si>
    <t>Sample preparation direct rock cut</t>
  </si>
  <si>
    <t>Specimen preparation for direct shear test (concreting)</t>
  </si>
  <si>
    <t>Cutting of cubic specimen 7x7x7x7cm</t>
  </si>
  <si>
    <t>Cutting of a cubic specimen 7 x 7 x 7 x 7 cm from blocks</t>
  </si>
  <si>
    <t>Crushing of samples &lt; 25 Kg</t>
  </si>
  <si>
    <t>Crushing of samples between 25Kg&amp;50Kg</t>
  </si>
  <si>
    <t>Crushing of samples between 25 Kg and 50 Kg</t>
  </si>
  <si>
    <t>Core extraction 48 mm. Blocks</t>
  </si>
  <si>
    <t>Extraction of cores of 40 cm length and 48 mm diameter from blocks</t>
  </si>
  <si>
    <t>Extraction of cores 48 mm. Cores</t>
  </si>
  <si>
    <t>Extraction of cores 40 cm length and 48 mm diameter from cores</t>
  </si>
  <si>
    <t>Grinding sample output sieve 0,080</t>
  </si>
  <si>
    <t>Sample grinding with 60 g sieve output 0.080 UNE</t>
  </si>
  <si>
    <t>Natural moisture UNE 7328; NLT 102/72</t>
  </si>
  <si>
    <t>Real density</t>
  </si>
  <si>
    <t>Apparent density NLT 156/72</t>
  </si>
  <si>
    <t>Determination of porosity</t>
  </si>
  <si>
    <t>Los Angeles wear coefficient</t>
  </si>
  <si>
    <t>Determination of the Los Angeles wear coefficient. UNE 83116. NLT 149</t>
  </si>
  <si>
    <t>Thin film petrographic study</t>
  </si>
  <si>
    <t>Petrographic study by thin film</t>
  </si>
  <si>
    <t>Petrographic study of mineral counts</t>
  </si>
  <si>
    <t>Petrographic study with mineralogical counting</t>
  </si>
  <si>
    <t>Determination of metallic minerals</t>
  </si>
  <si>
    <t>Determination of mineralogical species of opal (metallic minerals).</t>
  </si>
  <si>
    <t>X-ray diffraction</t>
  </si>
  <si>
    <t>Determination of elements by X-ray diffraction.</t>
  </si>
  <si>
    <t>Thin film photography (pc)</t>
  </si>
  <si>
    <t>Durability test SDT</t>
  </si>
  <si>
    <t>Durability test SDT (Slake Durability Test) NLT 251</t>
  </si>
  <si>
    <t>Schimazec+Schimazec+sheet+BrazilianIndex</t>
  </si>
  <si>
    <t>Determination of Schimazec Index + foil + Brazilian (without photography)</t>
  </si>
  <si>
    <t>Laboratory sonic velocity</t>
  </si>
  <si>
    <t>Cerchar Hardness Index</t>
  </si>
  <si>
    <t>Cerchar Abrasiveness Index</t>
  </si>
  <si>
    <t>D.R.I. index (Drilling Rate Index)</t>
  </si>
  <si>
    <t>D.R.I. Index (Drilling Rate Index)</t>
  </si>
  <si>
    <t>Lutton Index</t>
  </si>
  <si>
    <t>Absorption and apparent specific gravity</t>
  </si>
  <si>
    <t>Hardness Index (Schmidt sclerometer)</t>
  </si>
  <si>
    <t>Hardness index (Schmidt sclerometer)</t>
  </si>
  <si>
    <t>Uniaxial rock compression</t>
  </si>
  <si>
    <t>Simple compression of a rock specimen (UNE 22-950-90/1).</t>
  </si>
  <si>
    <t>Young's modulus simple compression</t>
  </si>
  <si>
    <t>Simple rock compression with Young's modulus. UNE 22-950-90/3. Band at 350 ohms</t>
  </si>
  <si>
    <t>Simple Young's &amp; Poisson's comp. modulus</t>
  </si>
  <si>
    <t>Simple rock compression - Young and Poisson modulus. UNE 22-950-90/3</t>
  </si>
  <si>
    <t>Simple Young's &amp; Poisson's mod. load-discharge</t>
  </si>
  <si>
    <t>CSR with Young &amp;Poisson modulus + loading &amp;unloading cycles. UNE 22-950-90/3</t>
  </si>
  <si>
    <t>Brazilian test</t>
  </si>
  <si>
    <t>Brazilian test. UNE 22-950-90/2</t>
  </si>
  <si>
    <t>Point Load Test</t>
  </si>
  <si>
    <t>Point Load Resistance Test (Point Load Test) UNE 22950-5-96</t>
  </si>
  <si>
    <t>Breakage 10 Franklin press specimens</t>
  </si>
  <si>
    <t>Breakage of 10 samples in Franklin press. NLT 252</t>
  </si>
  <si>
    <t>Triaxial of a rock specimen</t>
  </si>
  <si>
    <t>Triaxial compressive strength of a rock specimen UNE 22-950-92/4</t>
  </si>
  <si>
    <t>Hoek cell. Peak resistance</t>
  </si>
  <si>
    <t>Cutting of rock with natural or induced diaclases, peak resistance. Hoek cell</t>
  </si>
  <si>
    <t>Hoek cell. Peak and residual strength</t>
  </si>
  <si>
    <t>Cutting rock diaclases, peak/residual resistance. Hoek cell.</t>
  </si>
  <si>
    <t>Specific gravity,absorption and porosity</t>
  </si>
  <si>
    <t>Specific gravity, absorption and porosity in three specimens.UNE 22172&amp;22182</t>
  </si>
  <si>
    <t>Frictional wear on two specimens</t>
  </si>
  <si>
    <t>Frictional wear resistance in two specimens. UNE 22173 and 22183</t>
  </si>
  <si>
    <t>Flexural strength (6 specimens)</t>
  </si>
  <si>
    <t>Flexural strength UNE 22186 (6 test specimens).</t>
  </si>
  <si>
    <t>Compressive strength (6 specimens)</t>
  </si>
  <si>
    <t>Compression resistance UNE 22185 (6 specimens).</t>
  </si>
  <si>
    <t>Helical strength (3 specimens)</t>
  </si>
  <si>
    <t>Resistance to frost -heladicity- UNE 22174 and 22184 (3 specimens)</t>
  </si>
  <si>
    <t>Resistance to thermal changes 4specimens</t>
  </si>
  <si>
    <t>Resistance to thermal changes UNE 22197 (4 specimens)</t>
  </si>
  <si>
    <t>Shock resistance (impact) 4 specimens</t>
  </si>
  <si>
    <t>Resistance to shock (impact) UNE 22179 and 22189 (4 test specimens)</t>
  </si>
  <si>
    <t>Opening and description</t>
  </si>
  <si>
    <t>Preparation of specimens for testing</t>
  </si>
  <si>
    <t>Preparation of samples for testing</t>
  </si>
  <si>
    <t>Crushing of specimens &lt; 25 Kg</t>
  </si>
  <si>
    <t>Grinding of samples with 0,080 sieve</t>
  </si>
  <si>
    <t>Sample crushing with 60 g of sieve output 0,080 UNE</t>
  </si>
  <si>
    <t>Determination of clay lumps</t>
  </si>
  <si>
    <t>Determination of clay lumps UNE 7133</t>
  </si>
  <si>
    <t>Soft particles in coarse aggregates</t>
  </si>
  <si>
    <t>Determination of soft particles in coarse aggregates UNE 7134</t>
  </si>
  <si>
    <t>Quant. sulphur compounds in aggregates</t>
  </si>
  <si>
    <t>Quantitative determination of sulphur compounds in aggregates UNE 83120</t>
  </si>
  <si>
    <t>Organic matter in sands. UNE 7082</t>
  </si>
  <si>
    <t>Determination of organic matter in sands. UNE 7082</t>
  </si>
  <si>
    <t>Sand equivalent in aggregates UNE 83131</t>
  </si>
  <si>
    <t>Determination of sand equivalent in aggregates UNE 83131</t>
  </si>
  <si>
    <t>Methylene blue test UNE-EN 933-9</t>
  </si>
  <si>
    <t>Reactivity with cement alkalis</t>
  </si>
  <si>
    <t>Determination of reactivity with cement alkalis UNE 146507</t>
  </si>
  <si>
    <t>Alkali-silica reactivity UNE 146507</t>
  </si>
  <si>
    <t>Friability coeff. of microdeval sand</t>
  </si>
  <si>
    <t>Measurement of the friability coefficient of sands, microdeval. UNE 83-115-89</t>
  </si>
  <si>
    <t>Friability coefficient of aggregates</t>
  </si>
  <si>
    <t>Friability coefficient of aggregates. NLT-351</t>
  </si>
  <si>
    <t>Los Angeles in crushed sample</t>
  </si>
  <si>
    <t>Determination of Los Angeles coefficient in crushed sample UNE 83116 NLT 149</t>
  </si>
  <si>
    <t>Density,absorp.&amp; humidity fine aggregate</t>
  </si>
  <si>
    <t>Density/absorption coeff.&amp; water content of fine aggregates-UNE 83133/NLT 154</t>
  </si>
  <si>
    <t>Density,pore,absorp.&amp; W coarse aggregate</t>
  </si>
  <si>
    <t>Density/pore/absorptioncoeff. &amp; water content coarse aggregatesUNE 83134/NLT 153</t>
  </si>
  <si>
    <t>Stability of SO4Na - SO4Mg solutions</t>
  </si>
  <si>
    <t>Stability against Na or Mg sulphate solutions UNE-EN 1367-2.NLT 158</t>
  </si>
  <si>
    <t>Determination of the shape coefficient</t>
  </si>
  <si>
    <t>Determination of the shape coefficient UNE 7238</t>
  </si>
  <si>
    <t>Aggregate-rock crumbling stability</t>
  </si>
  <si>
    <t>Stability of aggregates &amp; rock fragments against crumbling in water. NLT-255/99</t>
  </si>
  <si>
    <t>Fines content passing through0.080 sieve</t>
  </si>
  <si>
    <t>Determination of the content of fines passing through the 0.080 sieve. UNE 7135</t>
  </si>
  <si>
    <t>Gravel particle size analysis</t>
  </si>
  <si>
    <t>Gravel granulometric analysis UNE 7376 UNE-EN 933-2</t>
  </si>
  <si>
    <t>Coefficient accelerated polishing (CPA)</t>
  </si>
  <si>
    <t>Coefficient of accelerated polishing (CPA). NLT 174</t>
  </si>
  <si>
    <t>Aggregate needle and flake index</t>
  </si>
  <si>
    <t>Index of slabs and needles of aggregates UNE-EN 933-2.NLT-354</t>
  </si>
  <si>
    <t>Fracture faces</t>
  </si>
  <si>
    <t>Proportion of coarse aggregate with two or more fracture faces. NLT 358</t>
  </si>
  <si>
    <t>Adhesiveness coarse aggregates in water</t>
  </si>
  <si>
    <t>Adhesiveness of coarse aggregates in the presence of water. NLT-166</t>
  </si>
  <si>
    <t>Aggreg.-rock moisture-dryness stability</t>
  </si>
  <si>
    <t>Stability of aggregates&amp;rock fragments against moisture-dryness actionNLT-260/99</t>
  </si>
  <si>
    <t>Surface cleanliness coefficient</t>
  </si>
  <si>
    <t>Surface cleanliness coefficient. NLT-172/86</t>
  </si>
  <si>
    <t>Standard analysis</t>
  </si>
  <si>
    <t>Standard water analysis</t>
  </si>
  <si>
    <t>Aggressiveness analysis EHE-98</t>
  </si>
  <si>
    <t>Analysis of water aggressiveness to concrete according to EHE-98 standard.</t>
  </si>
  <si>
    <t>Aggressiveness analysis EHE-91</t>
  </si>
  <si>
    <t>Analysis of water aggressiveness to concrete according to EHE-91 standard.</t>
  </si>
  <si>
    <t>Soil load test with plate</t>
  </si>
  <si>
    <t>Flooding under load</t>
  </si>
  <si>
    <t>Slab Index. UNE-EN 933-3:1997.</t>
  </si>
  <si>
    <t>Resistance to wear (Micro-Deval)</t>
  </si>
  <si>
    <t>Wear resistance (Micro-Deval). UNE-EN 1097-1.</t>
  </si>
  <si>
    <t>Coefficient of friability of the sands</t>
  </si>
  <si>
    <t>Coefficient of friability of sands. UNE 83-115-89.</t>
  </si>
  <si>
    <t>max. 40 Characters2</t>
  </si>
  <si>
    <t>max. 80 Characters3</t>
  </si>
  <si>
    <t>TS-Product</t>
  </si>
  <si>
    <t>sevice id</t>
  </si>
  <si>
    <t>Service</t>
  </si>
  <si>
    <t>Client/obt</t>
  </si>
  <si>
    <t>Text</t>
  </si>
  <si>
    <t>Description</t>
  </si>
  <si>
    <t xml:space="preserve">more detailed description </t>
  </si>
  <si>
    <t>SubCod</t>
  </si>
  <si>
    <t>Material CODES</t>
  </si>
  <si>
    <t>TS-1000</t>
  </si>
  <si>
    <t>Environmental characterization studies</t>
  </si>
  <si>
    <t>S10</t>
  </si>
  <si>
    <t>Accredited environmental inspections (ENAC)</t>
  </si>
  <si>
    <t>Exploratory characterization studies.</t>
  </si>
  <si>
    <t>Basic characterization studies of the potential contamination of the soil and associated groundwater.</t>
  </si>
  <si>
    <t>S10-380-10</t>
  </si>
  <si>
    <t>Detailed characterization studies.</t>
  </si>
  <si>
    <t>Complete characterization studies of the potential contamination of the soil and associated groundwater, which delimits the extent of the contamination.</t>
  </si>
  <si>
    <t>S10-380-20</t>
  </si>
  <si>
    <t>Certification of the quality of the remaining soil.</t>
  </si>
  <si>
    <t>Soil characterization studies during the excavation of a potentially contaminated plot.</t>
  </si>
  <si>
    <t>S10-725-10</t>
  </si>
  <si>
    <t>Control and monitoring of groundwater quality.</t>
  </si>
  <si>
    <t xml:space="preserve">Establishment of potential groundwater contamination </t>
  </si>
  <si>
    <t>S10-551-10</t>
  </si>
  <si>
    <t>G60</t>
  </si>
  <si>
    <t>Unaccredited environmental studies.</t>
  </si>
  <si>
    <t>Environmental impact studies.</t>
  </si>
  <si>
    <t>Carrying out environmental impact studies for the implementation of civil works or industrial sites.</t>
  </si>
  <si>
    <t>G60-134-10</t>
  </si>
  <si>
    <t>Quantitative risk analysis.</t>
  </si>
  <si>
    <t xml:space="preserve">Quantitative risk assessment studies to determine the maximum allowable concentrations of a given pollutant or establish cleanup targets levels for a site. </t>
  </si>
  <si>
    <t>´00</t>
  </si>
  <si>
    <t>G60-134-´00</t>
  </si>
  <si>
    <t>Soil and groundwater remediation</t>
  </si>
  <si>
    <t>Remediation work.</t>
  </si>
  <si>
    <t>Soil remediation projects.</t>
  </si>
  <si>
    <t>Drafting of soil and associated groundwater remediation projects that allow the cleanup objectives to be achieved at a specific site.</t>
  </si>
  <si>
    <t>G60-725-10</t>
  </si>
  <si>
    <t>Remediation monitoring reports.</t>
  </si>
  <si>
    <t xml:space="preserve">Drafting of technical reports to monitor the remediation process of a site. </t>
  </si>
  <si>
    <t>G60-129-10</t>
  </si>
  <si>
    <t>TS-1202</t>
  </si>
  <si>
    <t>Geotechnical characterization studies</t>
  </si>
  <si>
    <t>S51</t>
  </si>
  <si>
    <t>Geotechnical studies.</t>
  </si>
  <si>
    <t>Geotechnical studies for building.</t>
  </si>
  <si>
    <t>Drafting of geotechnical reports associated with building works (bearing capacity of the spoil, settlements, geotechnical characterization, etc.).</t>
  </si>
  <si>
    <t>09</t>
  </si>
  <si>
    <t>S51-733-09</t>
  </si>
  <si>
    <t>Slope stability studies.</t>
  </si>
  <si>
    <t>Geotechnical studies to characterize the stability of slopes in civil works (roads) or buildings (excavation holes for basements).</t>
  </si>
  <si>
    <t>S51-733-10</t>
  </si>
  <si>
    <t>Geotechnical studies of linear works (roads, gas pipelines, etc.)</t>
  </si>
  <si>
    <t xml:space="preserve">Geotechnical studies for the construction of linear works (establishing the degree of excavability and stability of the terrain, description of geotechnical problems, etc.). </t>
  </si>
  <si>
    <t>S51-733-20</t>
  </si>
  <si>
    <t>T13</t>
  </si>
  <si>
    <t>Laboratory tests of soil, rocks, agrregates, water and others.</t>
  </si>
  <si>
    <t>#1 Laboratory tests on soil samples.</t>
  </si>
  <si>
    <t>Performance of physicochemical characterization tests, resistance, deformability, etc. In soil mechanics.</t>
  </si>
  <si>
    <t>00</t>
  </si>
  <si>
    <t>T13-380-00</t>
  </si>
  <si>
    <t>#2 Laboratory tests on rock samples.</t>
  </si>
  <si>
    <t xml:space="preserve">Performance of physicochemical characterization tests, resistance, deformability, etc. In rock mechanics. </t>
  </si>
  <si>
    <t>T13-733-00</t>
  </si>
  <si>
    <t>#3 Laboratory tests on aggregates samples.</t>
  </si>
  <si>
    <t>Performance of physicochemical characterization tests, resistance, deformability, etc. In aggregares.</t>
  </si>
  <si>
    <t>T13-529-00</t>
  </si>
  <si>
    <t>#4 Laboratory tests on water samples.</t>
  </si>
  <si>
    <t>Chemical characterization tests in water.</t>
  </si>
  <si>
    <t>T13-551-00</t>
  </si>
  <si>
    <t>#5 Others laboratory tests.</t>
  </si>
  <si>
    <t>Others laboratory test (new test).</t>
  </si>
  <si>
    <t>T13-720-00</t>
  </si>
  <si>
    <t>Subcod 00 y/o 10   (00 = at home; 10= at the customer's site).</t>
  </si>
  <si>
    <t>+Subitems</t>
  </si>
  <si>
    <t>TS</t>
  </si>
  <si>
    <t>Activity</t>
  </si>
  <si>
    <t>Laboratory &amp; Geothechnics studies</t>
  </si>
  <si>
    <t>Contaminated soils</t>
  </si>
  <si>
    <t>Remediation</t>
  </si>
  <si>
    <t>Cataluña</t>
  </si>
  <si>
    <t xml:space="preserve">Subcontracting </t>
  </si>
  <si>
    <t>Tasas</t>
  </si>
  <si>
    <t>&lt;&lt;otros&gt;&gt;</t>
  </si>
  <si>
    <t>TOTAL AMOUNT (€)</t>
  </si>
  <si>
    <t>Comments</t>
  </si>
  <si>
    <t>Travel expenses</t>
  </si>
  <si>
    <t>Combustible</t>
  </si>
  <si>
    <t>Hotel</t>
  </si>
  <si>
    <t>Hours foreseen por project</t>
  </si>
  <si>
    <t>Hours</t>
  </si>
  <si>
    <t>€/h</t>
  </si>
  <si>
    <t>NET VALUE</t>
  </si>
  <si>
    <t>TOTAL COST</t>
  </si>
  <si>
    <t>MARGIN</t>
  </si>
  <si>
    <t>SAP CTRL</t>
  </si>
  <si>
    <t>SUBCONTRACTING</t>
  </si>
  <si>
    <t>TRAVEL EXPENSES</t>
  </si>
  <si>
    <t>OFFER AMOUNT</t>
  </si>
  <si>
    <t>HOURS</t>
  </si>
  <si>
    <t>Técnicos</t>
  </si>
  <si>
    <t>Subtotal (1)</t>
  </si>
  <si>
    <t>Subtotal (2)</t>
  </si>
  <si>
    <t>Subtotal (3)</t>
  </si>
  <si>
    <t>Subtotal (4)</t>
  </si>
  <si>
    <t>INFORMES</t>
  </si>
  <si>
    <t>TOTAL (SIN I.V.A.)</t>
  </si>
  <si>
    <t>Tubería PVC</t>
  </si>
  <si>
    <t>Retirada residuos</t>
  </si>
  <si>
    <t>HOTEL</t>
  </si>
  <si>
    <t>ACR</t>
  </si>
  <si>
    <t>TOTAL</t>
  </si>
  <si>
    <t>HORAS</t>
  </si>
  <si>
    <t>laboratorio 2</t>
  </si>
  <si>
    <t>Internal subcontracting</t>
  </si>
  <si>
    <t>Lab. Valdemoro</t>
  </si>
  <si>
    <t>DESPLAZAMIENTO</t>
  </si>
  <si>
    <t xml:space="preserve"> Km (9 litros/100 Km) =  l * 1,80 €</t>
  </si>
  <si>
    <t xml:space="preserve">  P.A. Transporte equipos y personal </t>
  </si>
  <si>
    <t>CAT'S</t>
  </si>
  <si>
    <t>RESY</t>
  </si>
  <si>
    <t>OFERTA</t>
  </si>
  <si>
    <t>SUBCONTRATACION SONDEOS</t>
  </si>
  <si>
    <t>CAMPO</t>
  </si>
  <si>
    <t>DIAS</t>
  </si>
  <si>
    <t>DESPLAZ.</t>
  </si>
  <si>
    <t>TAMARA</t>
  </si>
  <si>
    <t>ANNA</t>
  </si>
  <si>
    <t>QUIM</t>
  </si>
  <si>
    <t>HORAS CAT'S</t>
  </si>
  <si>
    <t>INFORME</t>
  </si>
  <si>
    <t>PLAN COST</t>
  </si>
  <si>
    <t>SUBCONT.</t>
  </si>
  <si>
    <t>PLAN COST  |  G3 DT</t>
  </si>
  <si>
    <t>NUM D'OFERTA</t>
  </si>
  <si>
    <t>NUM INF</t>
  </si>
  <si>
    <t>CLIENT / UBICACIÓ OBRA</t>
  </si>
  <si>
    <t>DESCRIPCIÓ TITÒL</t>
  </si>
  <si>
    <t>TIPUS</t>
  </si>
  <si>
    <t>CENTRE COST</t>
  </si>
  <si>
    <t xml:space="preserve">Persona Contacte </t>
  </si>
  <si>
    <t>Telèfon de Contacte</t>
  </si>
  <si>
    <t>Mobil de Contacte</t>
  </si>
  <si>
    <t>e-mail de Contacte</t>
  </si>
  <si>
    <t>Assignació kilometratge (EUR / km)</t>
  </si>
  <si>
    <t>Descompte comercial (%)</t>
  </si>
  <si>
    <t>Tecnic responsable</t>
  </si>
  <si>
    <t>sondejos</t>
  </si>
  <si>
    <t>Calicates</t>
  </si>
  <si>
    <t>laboratori</t>
  </si>
  <si>
    <t>Arquetes</t>
  </si>
  <si>
    <t>IMPORT TOTAL €</t>
  </si>
  <si>
    <t>Peatjes</t>
  </si>
  <si>
    <t>Tren/avió/lloguer cotxes</t>
  </si>
  <si>
    <t>Esmorzar/dinar/sopar</t>
  </si>
  <si>
    <t>Despeses varies</t>
  </si>
  <si>
    <t>Desplçaments</t>
  </si>
  <si>
    <t>Treballs de camp</t>
  </si>
  <si>
    <t>Treballs de gabinet</t>
  </si>
  <si>
    <t>jornades de camp</t>
  </si>
  <si>
    <t>jornades de gabinet</t>
  </si>
  <si>
    <t>RESUM</t>
  </si>
  <si>
    <t>HORAS reals</t>
  </si>
  <si>
    <t>Eva Vázquez Marcet</t>
  </si>
  <si>
    <t>Ariadna Salla</t>
  </si>
  <si>
    <t>Leian Martin</t>
  </si>
  <si>
    <t>PRESSUPOSTOS GEOTÈCCNICS</t>
  </si>
  <si>
    <t>SONDEIGS</t>
  </si>
  <si>
    <t>Emplaçament entre punts</t>
  </si>
  <si>
    <t>ml de sòls fins a 20 m</t>
  </si>
  <si>
    <t>ml de roques toves fins a 20 m</t>
  </si>
  <si>
    <t>ml graves fins a 20 m</t>
  </si>
  <si>
    <t>ml roca dura fins a 20 m</t>
  </si>
  <si>
    <t>ml de sòls fins de 20 a 40m</t>
  </si>
  <si>
    <t>CONCEPTE</t>
  </si>
  <si>
    <t>UNITATS</t>
  </si>
  <si>
    <t>PREU UNIT</t>
  </si>
  <si>
    <t>ml de roques toves de 20 a 40 m</t>
  </si>
  <si>
    <t>ml graves de 20 a 40 m</t>
  </si>
  <si>
    <t>ml roca dura de 20 a 40 m</t>
  </si>
  <si>
    <t>Assaig SPT</t>
  </si>
  <si>
    <t>Mostra inalterada</t>
  </si>
  <si>
    <t>Mostra parafinada</t>
  </si>
  <si>
    <t>Caixa de sondeigs</t>
  </si>
  <si>
    <t>ASSAIGS DPSH</t>
  </si>
  <si>
    <t>Desplaçament màquina de penetració</t>
  </si>
  <si>
    <t>unitat de penetració dinàmica DPSH</t>
  </si>
  <si>
    <t>ml previa a l'assaig SPT</t>
  </si>
  <si>
    <t>SPT</t>
  </si>
  <si>
    <t>ASSAIGS DE LABORATORI</t>
  </si>
  <si>
    <t xml:space="preserve">Obertura de mostra </t>
  </si>
  <si>
    <t>Analisi granulomètric per tamissat</t>
  </si>
  <si>
    <t>assaig de Limits d'Atterberg</t>
  </si>
  <si>
    <t>Compressió simple</t>
  </si>
  <si>
    <t>tall directe UU</t>
  </si>
  <si>
    <t>Tall directe CD</t>
  </si>
  <si>
    <t>Consolidació unidimensional</t>
  </si>
  <si>
    <t>Densitat aparent</t>
  </si>
  <si>
    <t>Humitat natural</t>
  </si>
  <si>
    <t xml:space="preserve">Agressivitat dels sòls </t>
  </si>
  <si>
    <t>Continugt en sulfats</t>
  </si>
  <si>
    <t>Agressiviitat de l'aigua</t>
  </si>
  <si>
    <t xml:space="preserve">Informe geotècnic </t>
  </si>
  <si>
    <t>Supervisió de treballs de camp</t>
  </si>
  <si>
    <t>ESTUDIS C0-C1</t>
  </si>
  <si>
    <t>SONDEIG A ROTAC IÓ</t>
  </si>
  <si>
    <t>Sondeig a rotació, inclòs desplaçament i SPT'S</t>
  </si>
  <si>
    <t>PA ASSAIG C0-C1</t>
  </si>
  <si>
    <t>PA ASSAIGS PATOLOGIES (Inclou Lambe si cal)</t>
  </si>
  <si>
    <t>PRESSUPOSTOS GEOTÈCCNICS C0-C1</t>
  </si>
  <si>
    <t>CALES</t>
  </si>
  <si>
    <t>Calicates mecàniques</t>
  </si>
  <si>
    <t>Recollida de mostres</t>
  </si>
  <si>
    <t xml:space="preserve">Cales manuals </t>
  </si>
  <si>
    <t>Testimonis de ferm (inclou obertura i tapat de l'obertura)</t>
  </si>
  <si>
    <t>Continugt en matèria orgànica</t>
  </si>
  <si>
    <t>Contingut en sals solubles</t>
  </si>
  <si>
    <t>Contingut en guixos</t>
  </si>
  <si>
    <t>Proctor Normal</t>
  </si>
  <si>
    <t>Proctor Modificat</t>
  </si>
  <si>
    <t>Assaig CBR</t>
  </si>
  <si>
    <t>Inflament lliure</t>
  </si>
  <si>
    <t>Colpase en sòls</t>
  </si>
  <si>
    <t>Alcali-silice</t>
  </si>
  <si>
    <t>testificació de treballs de camp</t>
  </si>
  <si>
    <t>TPS</t>
  </si>
  <si>
    <t>Calicata manual</t>
  </si>
  <si>
    <t>Testimoni de ferm</t>
  </si>
  <si>
    <t>SUBCONTRATACIÓN LABORATORI</t>
  </si>
  <si>
    <t>CAMP</t>
  </si>
  <si>
    <t>ARIADNA</t>
  </si>
  <si>
    <t>LEIAN</t>
  </si>
  <si>
    <t>EVA</t>
  </si>
  <si>
    <t>total</t>
  </si>
  <si>
    <t>SUBCONTRATACIÓN CALICATES</t>
  </si>
  <si>
    <t>hores de retro</t>
  </si>
  <si>
    <t>permisos</t>
  </si>
  <si>
    <t>DINAR</t>
  </si>
  <si>
    <t>ESMORZAR</t>
  </si>
  <si>
    <t>SOPAR</t>
  </si>
  <si>
    <t>ESMORZA</t>
  </si>
  <si>
    <t>GEOTÈCNIC SO</t>
  </si>
  <si>
    <t>GEO C0-C1</t>
  </si>
  <si>
    <t>GEO CALES</t>
  </si>
  <si>
    <t>GEO S+CA</t>
  </si>
  <si>
    <t>SOIL-ASSAIG</t>
  </si>
  <si>
    <t>ml penetració dinàmica DPSH</t>
  </si>
  <si>
    <t>VIALS</t>
  </si>
  <si>
    <t>km</t>
  </si>
  <si>
    <t>obertura de paviment</t>
  </si>
  <si>
    <t>Lambe</t>
  </si>
  <si>
    <t>PA ASSAIGS PATOLOGIES</t>
  </si>
  <si>
    <t>ML PREVISTOS</t>
  </si>
  <si>
    <t>sot</t>
  </si>
  <si>
    <t>permeabilitat</t>
  </si>
  <si>
    <t>ml de perforació en sòls fins a 20 m</t>
  </si>
  <si>
    <t>mi</t>
  </si>
  <si>
    <t>spt</t>
  </si>
  <si>
    <t>ml piezometre</t>
  </si>
  <si>
    <t>PRESIOMETRES</t>
  </si>
  <si>
    <t>PA d'aigua</t>
  </si>
  <si>
    <t>mostra inalterada</t>
  </si>
  <si>
    <t>inflament lliure</t>
  </si>
  <si>
    <t>compressió simple en roca</t>
  </si>
  <si>
    <t xml:space="preserve">Deslpaçamento de técnic a obra,testificació </t>
  </si>
  <si>
    <t>compressió simple</t>
  </si>
  <si>
    <t>Agressivitat del sòls segons CE21</t>
  </si>
  <si>
    <t>contingut en sulfats</t>
  </si>
  <si>
    <t>Redacció i direcció de l'estudi geotècnic</t>
  </si>
  <si>
    <t>Organització i supervisió dels treballs de camp</t>
  </si>
  <si>
    <t xml:space="preserve"> </t>
  </si>
  <si>
    <t xml:space="preserve">  </t>
  </si>
  <si>
    <t>ml en graves fins a 20 m</t>
  </si>
  <si>
    <t>equip de senyalització durant la realització de les cales</t>
  </si>
  <si>
    <t>tall directe CD</t>
  </si>
  <si>
    <t xml:space="preserve">Supervisió, direcció de treballs de camp i testificació de materials </t>
  </si>
  <si>
    <t>ml en roca tova fins a 20 m</t>
  </si>
  <si>
    <t>ml en roca dura fins a 20 m</t>
  </si>
  <si>
    <t>Desplaçament de màquina de penetració</t>
  </si>
  <si>
    <t>caixa portatestimonis</t>
  </si>
  <si>
    <t>ML PREVI</t>
  </si>
  <si>
    <t>obertura paviment (45€/u)</t>
  </si>
  <si>
    <t>Redacció, direcció de l'Estudi geotècnic</t>
  </si>
  <si>
    <t>ml de piezòmetre</t>
  </si>
  <si>
    <t>PA d'aigua per a la perforació de nivells rocosos</t>
  </si>
  <si>
    <t>ml previs</t>
  </si>
  <si>
    <t xml:space="preserve">unitat de penetració dinàmica DPSH </t>
  </si>
  <si>
    <t>PA de gestio de documentació</t>
  </si>
  <si>
    <t>calicates mecàniques (inclou testificació de cales)</t>
  </si>
  <si>
    <t>Mitja jornada de testificació de cales</t>
  </si>
  <si>
    <t>conting materia orgànica</t>
  </si>
  <si>
    <t>Assaig Lefranc de permeabilitat</t>
  </si>
  <si>
    <t>LEFRANC</t>
  </si>
  <si>
    <t>permeabilitat en cèl·lula de edòmetre</t>
  </si>
  <si>
    <t>BCN</t>
  </si>
  <si>
    <t>Direcció i redacció de l'Estudi geotècnic</t>
  </si>
  <si>
    <t>EG HAB UNIF RUBI</t>
  </si>
  <si>
    <t>ml previ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</si>
</sst>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</numFmts>
  <fonts count="5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10"/>
      <color indexed="8"/>
      <name val="Calibri"/>
      <family val="2"/>
      <scheme val="minor"/>
    </font>
    <font>
      <b/>
      <i/>
      <sz val="8"/>
      <color rgb="FF0070C0"/>
      <name val="Arial"/>
      <family val="2"/>
    </font>
    <font>
      <b/>
      <sz val="6"/>
      <name val="Arial"/>
      <family val="2"/>
    </font>
    <font>
      <sz val="8"/>
      <color rgb="FF000000"/>
      <name val="Arial"/>
      <family val="2"/>
    </font>
    <font>
      <b/>
      <i/>
      <u/>
      <sz val="10"/>
      <color indexed="8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theme="0"/>
      <name val="Arial Narrow"/>
      <family val="2"/>
    </font>
    <font>
      <sz val="10"/>
      <color rgb="FF000000"/>
      <name val="Arial Narrow"/>
      <family val="2"/>
    </font>
    <font>
      <b/>
      <sz val="12"/>
      <color theme="9" tint="-0.249977111117893"/>
      <name val="Arial"/>
      <family val="2"/>
    </font>
    <font>
      <b/>
      <i/>
      <sz val="8"/>
      <color theme="9" tint="-0.249977111117893"/>
      <name val="Arial"/>
      <family val="2"/>
    </font>
    <font>
      <b/>
      <sz val="8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i/>
      <u/>
      <sz val="7"/>
      <color theme="9" tint="-0.249977111117893"/>
      <name val="Arial"/>
      <family val="2"/>
    </font>
    <font>
      <sz val="8"/>
      <color theme="9" tint="-0.249977111117893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rial Narrow"/>
      <family val="2"/>
    </font>
    <font>
      <b/>
      <i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46A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theme="9" tint="0.39994506668294322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medium">
        <color theme="9" tint="0.39994506668294322"/>
      </left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 style="medium">
        <color theme="9" tint="0.39997558519241921"/>
      </left>
      <right style="medium">
        <color theme="9" tint="0.39997558519241921"/>
      </right>
      <top/>
      <bottom/>
      <diagonal/>
    </border>
    <border>
      <left style="medium">
        <color theme="9" tint="0.39997558519241921"/>
      </left>
      <right/>
      <top/>
      <bottom/>
      <diagonal/>
    </border>
    <border>
      <left/>
      <right style="medium">
        <color theme="9" tint="0.39997558519241921"/>
      </right>
      <top/>
      <bottom/>
      <diagonal/>
    </border>
    <border>
      <left style="medium">
        <color theme="9" tint="0.39994506668294322"/>
      </left>
      <right style="medium">
        <color theme="9" tint="0.39997558519241921"/>
      </right>
      <top/>
      <bottom/>
      <diagonal/>
    </border>
    <border>
      <left style="thin">
        <color theme="8" tint="0.39997558519241921"/>
      </left>
      <right style="thin">
        <color rgb="FF008000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rgb="FF008000"/>
      </right>
      <top/>
      <bottom/>
      <diagonal/>
    </border>
    <border>
      <left/>
      <right style="medium">
        <color rgb="FF4472C4"/>
      </right>
      <top/>
      <bottom/>
      <diagonal/>
    </border>
    <border>
      <left/>
      <right/>
      <top/>
      <bottom style="medium">
        <color theme="9" tint="0.39997558519241921"/>
      </bottom>
      <diagonal/>
    </border>
    <border>
      <left style="thick">
        <color rgb="FFFF0000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theme="9" tint="0.39997558519241921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rgb="FF4472C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7">
    <xf numFmtId="0" fontId="0" fillId="0" borderId="0"/>
    <xf numFmtId="0" fontId="10" fillId="0" borderId="0" applyBorder="0"/>
    <xf numFmtId="0" fontId="10" fillId="0" borderId="0"/>
    <xf numFmtId="0" fontId="16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4" borderId="0" applyNumberFormat="0" applyBorder="0" applyAlignment="0" applyProtection="0"/>
  </cellStyleXfs>
  <cellXfs count="432">
    <xf numFmtId="0" fontId="0" fillId="0" borderId="0" xfId="0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3" borderId="5" xfId="0" applyFill="1" applyBorder="1"/>
    <xf numFmtId="0" fontId="0" fillId="0" borderId="5" xfId="0" applyBorder="1"/>
    <xf numFmtId="0" fontId="9" fillId="0" borderId="5" xfId="0" applyFont="1" applyBorder="1" applyAlignment="1">
      <alignment vertical="top"/>
    </xf>
    <xf numFmtId="0" fontId="11" fillId="0" borderId="7" xfId="1" applyFont="1" applyBorder="1"/>
    <xf numFmtId="0" fontId="0" fillId="0" borderId="7" xfId="0" applyBorder="1"/>
    <xf numFmtId="2" fontId="0" fillId="0" borderId="7" xfId="0" applyNumberFormat="1" applyBorder="1"/>
    <xf numFmtId="0" fontId="11" fillId="4" borderId="7" xfId="2" applyFont="1" applyFill="1" applyBorder="1" applyProtection="1">
      <protection locked="0"/>
    </xf>
    <xf numFmtId="0" fontId="12" fillId="0" borderId="5" xfId="0" applyFont="1" applyBorder="1" applyAlignment="1">
      <alignment vertical="top"/>
    </xf>
    <xf numFmtId="0" fontId="11" fillId="0" borderId="5" xfId="1" applyFont="1" applyBorder="1" applyAlignment="1">
      <alignment horizontal="left" vertical="top"/>
    </xf>
    <xf numFmtId="2" fontId="0" fillId="0" borderId="5" xfId="0" applyNumberFormat="1" applyBorder="1"/>
    <xf numFmtId="0" fontId="11" fillId="4" borderId="5" xfId="2" applyFont="1" applyFill="1" applyBorder="1" applyAlignment="1" applyProtection="1">
      <alignment horizontal="left"/>
      <protection locked="0"/>
    </xf>
    <xf numFmtId="2" fontId="0" fillId="0" borderId="5" xfId="0" applyNumberFormat="1" applyBorder="1" applyAlignment="1">
      <alignment horizontal="left" vertical="top"/>
    </xf>
    <xf numFmtId="0" fontId="13" fillId="2" borderId="8" xfId="1" applyFont="1" applyFill="1" applyBorder="1" applyAlignment="1">
      <alignment horizontal="left" vertical="top" wrapText="1"/>
    </xf>
    <xf numFmtId="0" fontId="0" fillId="0" borderId="9" xfId="0" applyBorder="1"/>
    <xf numFmtId="0" fontId="9" fillId="0" borderId="9" xfId="0" applyFont="1" applyBorder="1" applyAlignment="1">
      <alignment vertical="top"/>
    </xf>
    <xf numFmtId="0" fontId="0" fillId="0" borderId="2" xfId="0" applyBorder="1"/>
    <xf numFmtId="2" fontId="0" fillId="0" borderId="9" xfId="0" applyNumberFormat="1" applyBorder="1" applyAlignment="1">
      <alignment horizontal="left" vertical="top"/>
    </xf>
    <xf numFmtId="0" fontId="1" fillId="5" borderId="0" xfId="0" applyFont="1" applyFill="1" applyAlignment="1">
      <alignment horizontal="center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19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13" xfId="0" quotePrefix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16" xfId="0" quotePrefix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0" fillId="10" borderId="38" xfId="0" applyFill="1" applyBorder="1" applyAlignment="1">
      <alignment horizontal="left" vertical="center" wrapText="1"/>
    </xf>
    <xf numFmtId="0" fontId="0" fillId="6" borderId="20" xfId="0" quotePrefix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15" fillId="0" borderId="0" xfId="0" applyFont="1"/>
    <xf numFmtId="0" fontId="8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13" borderId="0" xfId="0" applyFill="1"/>
    <xf numFmtId="0" fontId="20" fillId="0" borderId="0" xfId="0" applyFont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 applyProtection="1">
      <alignment vertical="center"/>
      <protection locked="0"/>
    </xf>
    <xf numFmtId="165" fontId="13" fillId="0" borderId="0" xfId="0" applyNumberFormat="1" applyFont="1"/>
    <xf numFmtId="165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27" fillId="0" borderId="5" xfId="0" applyFont="1" applyBorder="1" applyAlignment="1" applyProtection="1">
      <alignment horizontal="center" vertical="center"/>
      <protection locked="0"/>
    </xf>
    <xf numFmtId="164" fontId="17" fillId="0" borderId="0" xfId="5" applyNumberFormat="1" applyFill="1" applyBorder="1" applyAlignment="1">
      <alignment horizontal="center" vertical="top" wrapText="1"/>
    </xf>
    <xf numFmtId="0" fontId="25" fillId="0" borderId="0" xfId="0" applyFont="1" applyAlignment="1">
      <alignment horizontal="justify" vertical="top" wrapText="1"/>
    </xf>
    <xf numFmtId="164" fontId="23" fillId="0" borderId="0" xfId="0" applyNumberFormat="1" applyFont="1" applyAlignment="1">
      <alignment horizontal="center" vertical="center" wrapText="1"/>
    </xf>
    <xf numFmtId="0" fontId="22" fillId="0" borderId="0" xfId="0" quotePrefix="1" applyFont="1" applyAlignment="1">
      <alignment horizontal="center" vertical="center"/>
    </xf>
    <xf numFmtId="164" fontId="23" fillId="0" borderId="0" xfId="0" quotePrefix="1" applyNumberFormat="1" applyFont="1" applyAlignment="1">
      <alignment horizontal="center" vertical="center" wrapText="1"/>
    </xf>
    <xf numFmtId="164" fontId="21" fillId="0" borderId="0" xfId="4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31" fillId="0" borderId="0" xfId="0" applyNumberFormat="1" applyFont="1" applyAlignment="1">
      <alignment horizontal="center" vertical="top" wrapText="1"/>
    </xf>
    <xf numFmtId="0" fontId="33" fillId="0" borderId="0" xfId="4" applyFont="1" applyFill="1" applyBorder="1" applyAlignment="1">
      <alignment horizontal="center" vertical="top" wrapText="1"/>
    </xf>
    <xf numFmtId="0" fontId="32" fillId="0" borderId="0" xfId="5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center" wrapText="1"/>
    </xf>
    <xf numFmtId="164" fontId="31" fillId="0" borderId="0" xfId="0" quotePrefix="1" applyNumberFormat="1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top" wrapText="1"/>
    </xf>
    <xf numFmtId="164" fontId="31" fillId="0" borderId="0" xfId="0" applyNumberFormat="1" applyFont="1" applyAlignment="1">
      <alignment horizontal="center" vertical="center" wrapText="1"/>
    </xf>
    <xf numFmtId="164" fontId="33" fillId="0" borderId="0" xfId="4" applyNumberFormat="1" applyFont="1" applyFill="1" applyBorder="1" applyAlignment="1">
      <alignment horizontal="center" vertical="center" wrapText="1"/>
    </xf>
    <xf numFmtId="0" fontId="35" fillId="0" borderId="0" xfId="0" applyFont="1"/>
    <xf numFmtId="0" fontId="30" fillId="0" borderId="0" xfId="0" applyFont="1"/>
    <xf numFmtId="0" fontId="32" fillId="0" borderId="0" xfId="0" applyFont="1"/>
    <xf numFmtId="0" fontId="32" fillId="0" borderId="50" xfId="0" applyFont="1" applyBorder="1"/>
    <xf numFmtId="164" fontId="32" fillId="0" borderId="50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0" fontId="5" fillId="0" borderId="0" xfId="6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50" xfId="0" applyBorder="1"/>
    <xf numFmtId="0" fontId="0" fillId="0" borderId="50" xfId="0" applyBorder="1" applyAlignment="1">
      <alignment horizontal="center"/>
    </xf>
    <xf numFmtId="164" fontId="32" fillId="0" borderId="50" xfId="0" applyNumberFormat="1" applyFont="1" applyBorder="1" applyAlignment="1">
      <alignment horizontal="center" vertical="center"/>
    </xf>
    <xf numFmtId="0" fontId="41" fillId="15" borderId="5" xfId="0" applyFont="1" applyFill="1" applyBorder="1" applyAlignment="1">
      <alignment horizontal="center" vertical="center"/>
    </xf>
    <xf numFmtId="0" fontId="0" fillId="16" borderId="0" xfId="0" applyFill="1"/>
    <xf numFmtId="0" fontId="32" fillId="15" borderId="57" xfId="5" applyFont="1" applyFill="1" applyBorder="1" applyAlignment="1">
      <alignment horizontal="center" vertical="top" wrapText="1"/>
    </xf>
    <xf numFmtId="0" fontId="29" fillId="0" borderId="51" xfId="0" applyFont="1" applyBorder="1" applyAlignment="1">
      <alignment horizontal="left" vertical="center" wrapText="1"/>
    </xf>
    <xf numFmtId="0" fontId="31" fillId="0" borderId="51" xfId="0" applyFont="1" applyBorder="1" applyAlignment="1">
      <alignment vertical="top" wrapText="1"/>
    </xf>
    <xf numFmtId="0" fontId="31" fillId="0" borderId="51" xfId="0" applyFont="1" applyBorder="1" applyAlignment="1">
      <alignment horizontal="left" vertical="top" wrapText="1"/>
    </xf>
    <xf numFmtId="0" fontId="30" fillId="0" borderId="57" xfId="0" applyFont="1" applyBorder="1" applyAlignment="1">
      <alignment horizontal="center" vertical="top" wrapText="1"/>
    </xf>
    <xf numFmtId="0" fontId="31" fillId="0" borderId="57" xfId="0" applyFont="1" applyBorder="1" applyAlignment="1">
      <alignment horizontal="center" vertical="top" wrapText="1"/>
    </xf>
    <xf numFmtId="164" fontId="31" fillId="0" borderId="57" xfId="0" applyNumberFormat="1" applyFont="1" applyBorder="1" applyAlignment="1">
      <alignment horizontal="center" vertical="top" wrapText="1"/>
    </xf>
    <xf numFmtId="0" fontId="31" fillId="0" borderId="57" xfId="0" quotePrefix="1" applyFont="1" applyBorder="1" applyAlignment="1">
      <alignment horizontal="center" vertical="top" wrapText="1"/>
    </xf>
    <xf numFmtId="0" fontId="31" fillId="0" borderId="58" xfId="0" applyFont="1" applyBorder="1" applyAlignment="1">
      <alignment horizontal="center" vertical="top" wrapText="1"/>
    </xf>
    <xf numFmtId="164" fontId="31" fillId="0" borderId="58" xfId="0" applyNumberFormat="1" applyFont="1" applyBorder="1" applyAlignment="1">
      <alignment horizontal="center" vertical="top" wrapText="1"/>
    </xf>
    <xf numFmtId="0" fontId="30" fillId="0" borderId="57" xfId="0" applyFont="1" applyBorder="1" applyAlignment="1">
      <alignment horizontal="right" vertical="top" wrapText="1"/>
    </xf>
    <xf numFmtId="164" fontId="31" fillId="0" borderId="57" xfId="0" quotePrefix="1" applyNumberFormat="1" applyFont="1" applyBorder="1" applyAlignment="1">
      <alignment horizontal="center" vertical="top" wrapText="1"/>
    </xf>
    <xf numFmtId="164" fontId="32" fillId="15" borderId="57" xfId="5" applyNumberFormat="1" applyFont="1" applyFill="1" applyBorder="1" applyAlignment="1">
      <alignment horizontal="center" vertical="top" wrapText="1"/>
    </xf>
    <xf numFmtId="0" fontId="31" fillId="0" borderId="51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center" vertical="center" wrapText="1"/>
    </xf>
    <xf numFmtId="164" fontId="31" fillId="0" borderId="57" xfId="0" applyNumberFormat="1" applyFont="1" applyBorder="1" applyAlignment="1">
      <alignment horizontal="center" vertical="center" wrapText="1"/>
    </xf>
    <xf numFmtId="0" fontId="30" fillId="0" borderId="57" xfId="0" quotePrefix="1" applyFont="1" applyBorder="1" applyAlignment="1">
      <alignment horizontal="center" vertical="center"/>
    </xf>
    <xf numFmtId="164" fontId="33" fillId="17" borderId="63" xfId="4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justify" vertical="top" wrapText="1"/>
    </xf>
    <xf numFmtId="164" fontId="32" fillId="15" borderId="61" xfId="5" applyNumberFormat="1" applyFont="1" applyFill="1" applyBorder="1" applyAlignment="1">
      <alignment vertical="center" wrapText="1"/>
    </xf>
    <xf numFmtId="164" fontId="32" fillId="15" borderId="61" xfId="5" applyNumberFormat="1" applyFont="1" applyFill="1" applyBorder="1" applyAlignment="1">
      <alignment vertical="top" wrapText="1"/>
    </xf>
    <xf numFmtId="164" fontId="32" fillId="15" borderId="61" xfId="5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31" fillId="0" borderId="59" xfId="0" quotePrefix="1" applyFont="1" applyBorder="1" applyAlignment="1">
      <alignment horizontal="center" vertical="top" wrapText="1"/>
    </xf>
    <xf numFmtId="164" fontId="31" fillId="0" borderId="64" xfId="0" applyNumberFormat="1" applyFont="1" applyBorder="1" applyAlignment="1">
      <alignment horizontal="center" vertical="top" wrapText="1"/>
    </xf>
    <xf numFmtId="0" fontId="33" fillId="17" borderId="51" xfId="0" applyFont="1" applyFill="1" applyBorder="1" applyAlignment="1">
      <alignment horizontal="center" vertical="top" wrapText="1"/>
    </xf>
    <xf numFmtId="44" fontId="33" fillId="17" borderId="52" xfId="0" applyNumberFormat="1" applyFont="1" applyFill="1" applyBorder="1" applyAlignment="1">
      <alignment horizontal="center" vertical="top" wrapText="1"/>
    </xf>
    <xf numFmtId="0" fontId="37" fillId="17" borderId="54" xfId="0" applyFont="1" applyFill="1" applyBorder="1"/>
    <xf numFmtId="0" fontId="37" fillId="17" borderId="54" xfId="0" applyFont="1" applyFill="1" applyBorder="1" applyAlignment="1">
      <alignment vertical="center"/>
    </xf>
    <xf numFmtId="0" fontId="37" fillId="17" borderId="54" xfId="0" quotePrefix="1" applyFont="1" applyFill="1" applyBorder="1"/>
    <xf numFmtId="44" fontId="35" fillId="0" borderId="66" xfId="0" applyNumberFormat="1" applyFont="1" applyBorder="1"/>
    <xf numFmtId="165" fontId="35" fillId="0" borderId="67" xfId="0" applyNumberFormat="1" applyFont="1" applyBorder="1" applyAlignment="1">
      <alignment horizontal="center" vertical="center"/>
    </xf>
    <xf numFmtId="165" fontId="35" fillId="0" borderId="67" xfId="0" applyNumberFormat="1" applyFont="1" applyBorder="1" applyAlignment="1">
      <alignment vertical="center"/>
    </xf>
    <xf numFmtId="44" fontId="36" fillId="0" borderId="67" xfId="0" applyNumberFormat="1" applyFont="1" applyBorder="1" applyAlignment="1">
      <alignment horizontal="center"/>
    </xf>
    <xf numFmtId="0" fontId="35" fillId="0" borderId="67" xfId="0" applyFont="1" applyBorder="1"/>
    <xf numFmtId="165" fontId="35" fillId="0" borderId="68" xfId="0" applyNumberFormat="1" applyFont="1" applyBorder="1" applyAlignment="1">
      <alignment horizontal="center" vertical="center"/>
    </xf>
    <xf numFmtId="164" fontId="35" fillId="0" borderId="68" xfId="0" applyNumberFormat="1" applyFont="1" applyBorder="1"/>
    <xf numFmtId="0" fontId="37" fillId="17" borderId="54" xfId="0" applyFont="1" applyFill="1" applyBorder="1" applyAlignment="1">
      <alignment wrapText="1"/>
    </xf>
    <xf numFmtId="165" fontId="35" fillId="0" borderId="70" xfId="0" applyNumberFormat="1" applyFont="1" applyBorder="1" applyAlignment="1">
      <alignment horizontal="center" vertical="center"/>
    </xf>
    <xf numFmtId="165" fontId="35" fillId="0" borderId="69" xfId="0" applyNumberFormat="1" applyFont="1" applyBorder="1" applyAlignment="1">
      <alignment horizontal="center" vertical="center"/>
    </xf>
    <xf numFmtId="0" fontId="33" fillId="0" borderId="0" xfId="0" applyFont="1"/>
    <xf numFmtId="165" fontId="37" fillId="0" borderId="0" xfId="0" applyNumberFormat="1" applyFont="1"/>
    <xf numFmtId="164" fontId="32" fillId="0" borderId="50" xfId="0" applyNumberFormat="1" applyFont="1" applyBorder="1"/>
    <xf numFmtId="0" fontId="32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top"/>
    </xf>
    <xf numFmtId="0" fontId="38" fillId="0" borderId="55" xfId="0" applyFont="1" applyBorder="1" applyAlignment="1">
      <alignment horizontal="left" vertical="center"/>
    </xf>
    <xf numFmtId="0" fontId="38" fillId="0" borderId="71" xfId="0" applyFont="1" applyBorder="1"/>
    <xf numFmtId="164" fontId="32" fillId="0" borderId="65" xfId="0" applyNumberFormat="1" applyFont="1" applyBorder="1" applyAlignment="1">
      <alignment horizontal="left" vertical="center"/>
    </xf>
    <xf numFmtId="0" fontId="32" fillId="15" borderId="65" xfId="0" applyFont="1" applyFill="1" applyBorder="1" applyAlignment="1">
      <alignment horizontal="left" vertical="center"/>
    </xf>
    <xf numFmtId="0" fontId="33" fillId="0" borderId="65" xfId="0" applyFont="1" applyBorder="1" applyAlignment="1">
      <alignment horizontal="center"/>
    </xf>
    <xf numFmtId="0" fontId="32" fillId="15" borderId="65" xfId="0" applyFont="1" applyFill="1" applyBorder="1"/>
    <xf numFmtId="0" fontId="38" fillId="15" borderId="65" xfId="0" applyFont="1" applyFill="1" applyBorder="1" applyAlignment="1">
      <alignment horizontal="left" vertical="center"/>
    </xf>
    <xf numFmtId="0" fontId="30" fillId="18" borderId="65" xfId="0" applyFont="1" applyFill="1" applyBorder="1" applyAlignment="1">
      <alignment horizontal="left" vertical="center" wrapText="1"/>
    </xf>
    <xf numFmtId="0" fontId="30" fillId="18" borderId="65" xfId="0" applyFont="1" applyFill="1" applyBorder="1" applyAlignment="1">
      <alignment vertical="top" wrapText="1"/>
    </xf>
    <xf numFmtId="0" fontId="33" fillId="0" borderId="65" xfId="0" applyFont="1" applyBorder="1" applyAlignment="1">
      <alignment horizontal="center" vertical="top" wrapText="1"/>
    </xf>
    <xf numFmtId="164" fontId="30" fillId="0" borderId="65" xfId="0" applyNumberFormat="1" applyFont="1" applyBorder="1" applyAlignment="1">
      <alignment horizontal="left" vertical="top"/>
    </xf>
    <xf numFmtId="0" fontId="38" fillId="15" borderId="65" xfId="0" applyFont="1" applyFill="1" applyBorder="1"/>
    <xf numFmtId="164" fontId="32" fillId="0" borderId="73" xfId="0" applyNumberFormat="1" applyFont="1" applyBorder="1" applyAlignment="1">
      <alignment horizontal="left" vertical="center"/>
    </xf>
    <xf numFmtId="0" fontId="30" fillId="18" borderId="73" xfId="0" applyFont="1" applyFill="1" applyBorder="1" applyAlignment="1">
      <alignment vertical="top" wrapText="1"/>
    </xf>
    <xf numFmtId="164" fontId="32" fillId="0" borderId="72" xfId="0" applyNumberFormat="1" applyFont="1" applyBorder="1" applyAlignment="1">
      <alignment horizontal="left" vertical="center"/>
    </xf>
    <xf numFmtId="0" fontId="32" fillId="15" borderId="72" xfId="0" applyFont="1" applyFill="1" applyBorder="1"/>
    <xf numFmtId="0" fontId="33" fillId="17" borderId="50" xfId="0" applyFont="1" applyFill="1" applyBorder="1" applyAlignment="1">
      <alignment horizontal="right"/>
    </xf>
    <xf numFmtId="0" fontId="34" fillId="19" borderId="74" xfId="0" applyFont="1" applyFill="1" applyBorder="1"/>
    <xf numFmtId="0" fontId="34" fillId="19" borderId="75" xfId="0" applyFont="1" applyFill="1" applyBorder="1"/>
    <xf numFmtId="0" fontId="33" fillId="0" borderId="50" xfId="0" applyFont="1" applyBorder="1" applyAlignment="1">
      <alignment horizontal="center"/>
    </xf>
    <xf numFmtId="165" fontId="33" fillId="0" borderId="50" xfId="0" applyNumberFormat="1" applyFont="1" applyBorder="1" applyAlignment="1">
      <alignment horizontal="center" vertical="center"/>
    </xf>
    <xf numFmtId="165" fontId="33" fillId="0" borderId="50" xfId="0" applyNumberFormat="1" applyFont="1" applyBorder="1" applyAlignment="1">
      <alignment horizontal="center"/>
    </xf>
    <xf numFmtId="0" fontId="32" fillId="0" borderId="54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0" fontId="30" fillId="0" borderId="54" xfId="0" applyFont="1" applyBorder="1" applyAlignment="1">
      <alignment horizontal="center" vertical="top" wrapText="1"/>
    </xf>
    <xf numFmtId="0" fontId="33" fillId="0" borderId="0" xfId="0" applyFont="1" applyAlignment="1">
      <alignment horizontal="center"/>
    </xf>
    <xf numFmtId="164" fontId="32" fillId="0" borderId="53" xfId="0" applyNumberFormat="1" applyFont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/>
    </xf>
    <xf numFmtId="44" fontId="32" fillId="0" borderId="50" xfId="0" applyNumberFormat="1" applyFont="1" applyBorder="1"/>
    <xf numFmtId="164" fontId="0" fillId="0" borderId="50" xfId="0" applyNumberFormat="1" applyBorder="1"/>
    <xf numFmtId="0" fontId="1" fillId="17" borderId="50" xfId="0" applyFont="1" applyFill="1" applyBorder="1" applyAlignment="1">
      <alignment horizontal="right"/>
    </xf>
    <xf numFmtId="0" fontId="32" fillId="19" borderId="54" xfId="0" applyFont="1" applyFill="1" applyBorder="1" applyAlignment="1">
      <alignment horizontal="center"/>
    </xf>
    <xf numFmtId="0" fontId="32" fillId="19" borderId="50" xfId="0" applyFont="1" applyFill="1" applyBorder="1" applyAlignment="1">
      <alignment horizontal="center"/>
    </xf>
    <xf numFmtId="0" fontId="30" fillId="19" borderId="54" xfId="0" applyFont="1" applyFill="1" applyBorder="1" applyAlignment="1">
      <alignment horizontal="center" vertical="top" wrapText="1"/>
    </xf>
    <xf numFmtId="0" fontId="1" fillId="0" borderId="56" xfId="0" applyFont="1" applyBorder="1"/>
    <xf numFmtId="0" fontId="1" fillId="0" borderId="54" xfId="0" applyFont="1" applyBorder="1"/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33" fillId="17" borderId="50" xfId="0" applyFont="1" applyFill="1" applyBorder="1" applyAlignment="1">
      <alignment horizontal="center"/>
    </xf>
    <xf numFmtId="165" fontId="33" fillId="17" borderId="50" xfId="0" applyNumberFormat="1" applyFont="1" applyFill="1" applyBorder="1" applyAlignment="1">
      <alignment horizontal="center" vertical="center"/>
    </xf>
    <xf numFmtId="165" fontId="33" fillId="17" borderId="50" xfId="0" applyNumberFormat="1" applyFont="1" applyFill="1" applyBorder="1" applyAlignment="1">
      <alignment horizontal="center"/>
    </xf>
    <xf numFmtId="0" fontId="33" fillId="17" borderId="0" xfId="0" applyFont="1" applyFill="1" applyAlignment="1">
      <alignment horizontal="center"/>
    </xf>
    <xf numFmtId="164" fontId="32" fillId="15" borderId="53" xfId="0" applyNumberFormat="1" applyFont="1" applyFill="1" applyBorder="1" applyAlignment="1">
      <alignment horizontal="center" vertical="center"/>
    </xf>
    <xf numFmtId="0" fontId="33" fillId="17" borderId="50" xfId="0" applyFont="1" applyFill="1" applyBorder="1" applyAlignment="1">
      <alignment horizontal="left" vertical="top"/>
    </xf>
    <xf numFmtId="0" fontId="1" fillId="17" borderId="50" xfId="0" applyFont="1" applyFill="1" applyBorder="1" applyAlignment="1">
      <alignment horizontal="center"/>
    </xf>
    <xf numFmtId="164" fontId="32" fillId="15" borderId="0" xfId="0" applyNumberFormat="1" applyFont="1" applyFill="1" applyAlignment="1">
      <alignment horizontal="center" vertical="center"/>
    </xf>
    <xf numFmtId="164" fontId="32" fillId="0" borderId="65" xfId="0" applyNumberFormat="1" applyFont="1" applyBorder="1" applyAlignment="1">
      <alignment horizontal="right" vertical="center"/>
    </xf>
    <xf numFmtId="164" fontId="32" fillId="0" borderId="69" xfId="0" applyNumberFormat="1" applyFont="1" applyBorder="1"/>
    <xf numFmtId="164" fontId="32" fillId="0" borderId="67" xfId="0" applyNumberFormat="1" applyFont="1" applyBorder="1"/>
    <xf numFmtId="164" fontId="32" fillId="0" borderId="68" xfId="0" applyNumberFormat="1" applyFont="1" applyBorder="1"/>
    <xf numFmtId="165" fontId="11" fillId="15" borderId="0" xfId="0" applyNumberFormat="1" applyFont="1" applyFill="1" applyAlignment="1">
      <alignment horizontal="left" vertical="top"/>
    </xf>
    <xf numFmtId="165" fontId="2" fillId="15" borderId="0" xfId="0" applyNumberFormat="1" applyFont="1" applyFill="1"/>
    <xf numFmtId="164" fontId="32" fillId="19" borderId="53" xfId="0" applyNumberFormat="1" applyFont="1" applyFill="1" applyBorder="1" applyAlignment="1">
      <alignment horizontal="center" vertical="center"/>
    </xf>
    <xf numFmtId="164" fontId="32" fillId="19" borderId="0" xfId="0" applyNumberFormat="1" applyFont="1" applyFill="1" applyAlignment="1">
      <alignment horizontal="center" vertical="center"/>
    </xf>
    <xf numFmtId="0" fontId="32" fillId="0" borderId="0" xfId="5" applyFont="1" applyFill="1" applyBorder="1" applyAlignment="1">
      <alignment horizontal="left" vertical="top" wrapText="1"/>
    </xf>
    <xf numFmtId="0" fontId="35" fillId="0" borderId="0" xfId="0" applyFont="1" applyAlignment="1">
      <alignment vertical="center"/>
    </xf>
    <xf numFmtId="164" fontId="35" fillId="0" borderId="0" xfId="0" applyNumberFormat="1" applyFont="1" applyAlignment="1">
      <alignment horizontal="center" vertical="center"/>
    </xf>
    <xf numFmtId="164" fontId="32" fillId="0" borderId="50" xfId="0" applyNumberFormat="1" applyFont="1" applyBorder="1" applyAlignment="1">
      <alignment vertical="center"/>
    </xf>
    <xf numFmtId="44" fontId="32" fillId="0" borderId="50" xfId="0" applyNumberFormat="1" applyFont="1" applyBorder="1" applyAlignment="1">
      <alignment vertical="center"/>
    </xf>
    <xf numFmtId="164" fontId="32" fillId="0" borderId="0" xfId="0" applyNumberFormat="1" applyFont="1" applyAlignment="1">
      <alignment vertical="center"/>
    </xf>
    <xf numFmtId="165" fontId="35" fillId="0" borderId="0" xfId="0" applyNumberFormat="1" applyFont="1"/>
    <xf numFmtId="165" fontId="32" fillId="0" borderId="50" xfId="0" applyNumberFormat="1" applyFont="1" applyBorder="1"/>
    <xf numFmtId="164" fontId="35" fillId="0" borderId="50" xfId="0" applyNumberFormat="1" applyFont="1" applyBorder="1" applyAlignment="1">
      <alignment horizontal="right"/>
    </xf>
    <xf numFmtId="164" fontId="35" fillId="0" borderId="0" xfId="0" applyNumberFormat="1" applyFont="1" applyAlignment="1">
      <alignment horizontal="right"/>
    </xf>
    <xf numFmtId="164" fontId="32" fillId="0" borderId="50" xfId="0" applyNumberFormat="1" applyFont="1" applyBorder="1" applyAlignment="1">
      <alignment horizontal="right"/>
    </xf>
    <xf numFmtId="0" fontId="33" fillId="17" borderId="0" xfId="0" applyFont="1" applyFill="1"/>
    <xf numFmtId="164" fontId="30" fillId="0" borderId="65" xfId="0" applyNumberFormat="1" applyFont="1" applyBorder="1" applyAlignment="1">
      <alignment horizontal="left" vertical="top" wrapText="1"/>
    </xf>
    <xf numFmtId="164" fontId="49" fillId="0" borderId="0" xfId="4" applyNumberFormat="1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0" fillId="0" borderId="57" xfId="0" quotePrefix="1" applyFont="1" applyBorder="1" applyAlignment="1">
      <alignment horizontal="center" vertical="top" wrapText="1"/>
    </xf>
    <xf numFmtId="165" fontId="32" fillId="0" borderId="50" xfId="0" applyNumberFormat="1" applyFont="1" applyBorder="1" applyAlignment="1">
      <alignment horizontal="center"/>
    </xf>
    <xf numFmtId="164" fontId="30" fillId="0" borderId="57" xfId="0" applyNumberFormat="1" applyFont="1" applyBorder="1" applyAlignment="1">
      <alignment horizontal="center" vertical="top" wrapText="1"/>
    </xf>
    <xf numFmtId="0" fontId="30" fillId="0" borderId="51" xfId="0" applyFont="1" applyBorder="1" applyAlignment="1">
      <alignment vertical="top" wrapText="1"/>
    </xf>
    <xf numFmtId="165" fontId="35" fillId="0" borderId="67" xfId="0" applyNumberFormat="1" applyFont="1" applyBorder="1"/>
    <xf numFmtId="164" fontId="30" fillId="0" borderId="65" xfId="0" applyNumberFormat="1" applyFont="1" applyBorder="1" applyAlignment="1">
      <alignment horizontal="left"/>
    </xf>
    <xf numFmtId="0" fontId="30" fillId="0" borderId="76" xfId="0" applyFont="1" applyBorder="1" applyAlignment="1">
      <alignment horizontal="center" vertical="top" wrapText="1"/>
    </xf>
    <xf numFmtId="0" fontId="31" fillId="0" borderId="76" xfId="0" quotePrefix="1" applyFont="1" applyBorder="1" applyAlignment="1">
      <alignment horizontal="center" vertical="top" wrapText="1"/>
    </xf>
    <xf numFmtId="164" fontId="31" fillId="0" borderId="76" xfId="0" applyNumberFormat="1" applyFont="1" applyBorder="1" applyAlignment="1">
      <alignment horizontal="center" vertical="top" wrapText="1"/>
    </xf>
    <xf numFmtId="164" fontId="31" fillId="0" borderId="76" xfId="0" quotePrefix="1" applyNumberFormat="1" applyFont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center" wrapText="1"/>
    </xf>
    <xf numFmtId="0" fontId="31" fillId="0" borderId="77" xfId="0" quotePrefix="1" applyFont="1" applyBorder="1" applyAlignment="1">
      <alignment horizontal="center" vertical="top" wrapText="1"/>
    </xf>
    <xf numFmtId="164" fontId="31" fillId="0" borderId="79" xfId="0" applyNumberFormat="1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top" wrapText="1"/>
    </xf>
    <xf numFmtId="164" fontId="32" fillId="15" borderId="76" xfId="5" applyNumberFormat="1" applyFont="1" applyFill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center" wrapText="1"/>
    </xf>
    <xf numFmtId="164" fontId="31" fillId="0" borderId="76" xfId="0" applyNumberFormat="1" applyFont="1" applyBorder="1" applyAlignment="1">
      <alignment horizontal="center" vertical="center" wrapText="1"/>
    </xf>
    <xf numFmtId="0" fontId="30" fillId="0" borderId="76" xfId="0" quotePrefix="1" applyFont="1" applyBorder="1" applyAlignment="1">
      <alignment horizontal="center" vertical="center"/>
    </xf>
    <xf numFmtId="164" fontId="50" fillId="0" borderId="0" xfId="0" applyNumberFormat="1" applyFont="1"/>
    <xf numFmtId="0" fontId="37" fillId="0" borderId="57" xfId="0" applyFont="1" applyBorder="1" applyAlignment="1">
      <alignment horizontal="center" vertical="top" wrapText="1"/>
    </xf>
    <xf numFmtId="0" fontId="30" fillId="0" borderId="57" xfId="0" applyFont="1" applyBorder="1" applyAlignment="1">
      <alignment horizontal="center" vertical="center" wrapText="1"/>
    </xf>
    <xf numFmtId="0" fontId="33" fillId="17" borderId="54" xfId="0" applyFont="1" applyFill="1" applyBorder="1" applyAlignment="1">
      <alignment horizontal="center"/>
    </xf>
    <xf numFmtId="0" fontId="33" fillId="17" borderId="80" xfId="0" applyFont="1" applyFill="1" applyBorder="1" applyAlignment="1">
      <alignment horizontal="left" vertical="top"/>
    </xf>
    <xf numFmtId="0" fontId="35" fillId="15" borderId="81" xfId="0" applyFont="1" applyFill="1" applyBorder="1"/>
    <xf numFmtId="0" fontId="35" fillId="15" borderId="0" xfId="0" applyFont="1" applyFill="1"/>
    <xf numFmtId="0" fontId="35" fillId="15" borderId="81" xfId="0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164" fontId="31" fillId="0" borderId="77" xfId="0" applyNumberFormat="1" applyFont="1" applyBorder="1" applyAlignment="1">
      <alignment vertical="top" wrapText="1"/>
    </xf>
    <xf numFmtId="164" fontId="31" fillId="0" borderId="77" xfId="0" applyNumberFormat="1" applyFont="1" applyBorder="1" applyAlignment="1">
      <alignment vertical="center" wrapText="1"/>
    </xf>
    <xf numFmtId="164" fontId="33" fillId="17" borderId="82" xfId="4" applyNumberFormat="1" applyFont="1" applyFill="1" applyBorder="1" applyAlignment="1">
      <alignment horizontal="center" vertical="center" wrapText="1"/>
    </xf>
    <xf numFmtId="164" fontId="51" fillId="0" borderId="77" xfId="0" applyNumberFormat="1" applyFont="1" applyBorder="1" applyAlignment="1">
      <alignment vertical="center" wrapText="1"/>
    </xf>
    <xf numFmtId="164" fontId="51" fillId="0" borderId="77" xfId="0" applyNumberFormat="1" applyFont="1" applyBorder="1" applyAlignment="1">
      <alignment vertical="top" wrapText="1"/>
    </xf>
    <xf numFmtId="0" fontId="50" fillId="0" borderId="50" xfId="0" applyFont="1" applyBorder="1"/>
    <xf numFmtId="0" fontId="11" fillId="0" borderId="50" xfId="0" applyFont="1" applyBorder="1"/>
    <xf numFmtId="164" fontId="30" fillId="0" borderId="77" xfId="0" applyNumberFormat="1" applyFont="1" applyBorder="1" applyAlignment="1">
      <alignment vertical="center" wrapText="1"/>
    </xf>
    <xf numFmtId="0" fontId="32" fillId="15" borderId="76" xfId="5" applyFont="1" applyFill="1" applyBorder="1" applyAlignment="1">
      <alignment horizontal="center" vertical="top" wrapText="1"/>
    </xf>
    <xf numFmtId="0" fontId="32" fillId="0" borderId="57" xfId="0" quotePrefix="1" applyFont="1" applyBorder="1" applyAlignment="1">
      <alignment horizontal="center" vertical="top" wrapText="1"/>
    </xf>
    <xf numFmtId="0" fontId="32" fillId="3" borderId="57" xfId="0" applyFont="1" applyFill="1" applyBorder="1" applyAlignment="1">
      <alignment horizontal="center" vertical="top" wrapText="1"/>
    </xf>
    <xf numFmtId="0" fontId="32" fillId="3" borderId="57" xfId="0" quotePrefix="1" applyFont="1" applyFill="1" applyBorder="1" applyAlignment="1">
      <alignment horizontal="center" vertical="top" wrapText="1"/>
    </xf>
    <xf numFmtId="0" fontId="32" fillId="0" borderId="58" xfId="0" applyFont="1" applyBorder="1" applyAlignment="1">
      <alignment horizontal="center" vertical="top" wrapText="1"/>
    </xf>
    <xf numFmtId="164" fontId="36" fillId="21" borderId="0" xfId="0" applyNumberFormat="1" applyFont="1" applyFill="1" applyAlignment="1">
      <alignment horizontal="center" vertical="center"/>
    </xf>
    <xf numFmtId="0" fontId="30" fillId="0" borderId="50" xfId="0" applyFont="1" applyBorder="1"/>
    <xf numFmtId="164" fontId="30" fillId="0" borderId="50" xfId="0" applyNumberFormat="1" applyFont="1" applyBorder="1" applyAlignment="1">
      <alignment horizontal="center" vertical="center"/>
    </xf>
    <xf numFmtId="164" fontId="30" fillId="0" borderId="50" xfId="0" applyNumberFormat="1" applyFont="1" applyBorder="1" applyAlignment="1">
      <alignment horizontal="center"/>
    </xf>
    <xf numFmtId="44" fontId="30" fillId="0" borderId="50" xfId="0" applyNumberFormat="1" applyFont="1" applyBorder="1" applyAlignment="1">
      <alignment vertical="center"/>
    </xf>
    <xf numFmtId="164" fontId="36" fillId="0" borderId="50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164" fontId="46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0" fillId="15" borderId="5" xfId="0" applyFont="1" applyFill="1" applyBorder="1" applyAlignment="1">
      <alignment horizontal="left"/>
    </xf>
    <xf numFmtId="0" fontId="47" fillId="0" borderId="0" xfId="0" applyFont="1" applyAlignment="1" applyProtection="1">
      <alignment horizontal="left"/>
      <protection locked="0"/>
    </xf>
    <xf numFmtId="0" fontId="40" fillId="15" borderId="5" xfId="0" applyFont="1" applyFill="1" applyBorder="1" applyAlignment="1">
      <alignment horizontal="center"/>
    </xf>
    <xf numFmtId="0" fontId="5" fillId="0" borderId="47" xfId="0" applyFont="1" applyBorder="1" applyAlignment="1">
      <alignment horizontal="left" vertical="center" indent="1"/>
    </xf>
    <xf numFmtId="0" fontId="5" fillId="0" borderId="48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0" fillId="0" borderId="5" xfId="0" applyFont="1" applyBorder="1" applyAlignment="1" applyProtection="1">
      <alignment horizontal="left"/>
      <protection locked="0"/>
    </xf>
    <xf numFmtId="164" fontId="45" fillId="0" borderId="41" xfId="0" applyNumberFormat="1" applyFont="1" applyBorder="1" applyAlignment="1">
      <alignment horizontal="center" vertical="center"/>
    </xf>
    <xf numFmtId="164" fontId="45" fillId="0" borderId="42" xfId="0" applyNumberFormat="1" applyFont="1" applyBorder="1" applyAlignment="1">
      <alignment horizontal="center" vertical="center"/>
    </xf>
    <xf numFmtId="164" fontId="45" fillId="0" borderId="9" xfId="0" applyNumberFormat="1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164" fontId="41" fillId="15" borderId="5" xfId="0" applyNumberFormat="1" applyFont="1" applyFill="1" applyBorder="1" applyAlignment="1">
      <alignment horizontal="center"/>
    </xf>
    <xf numFmtId="10" fontId="41" fillId="0" borderId="48" xfId="0" applyNumberFormat="1" applyFont="1" applyBorder="1" applyAlignment="1">
      <alignment horizontal="center" vertical="center"/>
    </xf>
    <xf numFmtId="10" fontId="41" fillId="0" borderId="49" xfId="0" applyNumberFormat="1" applyFont="1" applyBorder="1" applyAlignment="1">
      <alignment horizontal="center" vertical="center"/>
    </xf>
    <xf numFmtId="3" fontId="45" fillId="0" borderId="41" xfId="0" applyNumberFormat="1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1" fillId="15" borderId="43" xfId="0" applyFont="1" applyFill="1" applyBorder="1" applyAlignment="1">
      <alignment horizontal="center"/>
    </xf>
    <xf numFmtId="0" fontId="41" fillId="15" borderId="44" xfId="0" applyFont="1" applyFill="1" applyBorder="1" applyAlignment="1">
      <alignment horizontal="center"/>
    </xf>
    <xf numFmtId="0" fontId="41" fillId="15" borderId="45" xfId="0" applyFont="1" applyFill="1" applyBorder="1" applyAlignment="1">
      <alignment horizontal="center"/>
    </xf>
    <xf numFmtId="0" fontId="41" fillId="15" borderId="39" xfId="0" applyFont="1" applyFill="1" applyBorder="1" applyAlignment="1" applyProtection="1">
      <alignment horizontal="center" vertical="center"/>
      <protection locked="0"/>
    </xf>
    <xf numFmtId="0" fontId="41" fillId="15" borderId="6" xfId="0" applyFont="1" applyFill="1" applyBorder="1" applyAlignment="1" applyProtection="1">
      <alignment horizontal="center" vertical="center"/>
      <protection locked="0"/>
    </xf>
    <xf numFmtId="0" fontId="41" fillId="15" borderId="7" xfId="0" applyFont="1" applyFill="1" applyBorder="1" applyAlignment="1" applyProtection="1">
      <alignment horizontal="center" vertical="center"/>
      <protection locked="0"/>
    </xf>
    <xf numFmtId="164" fontId="45" fillId="0" borderId="5" xfId="0" applyNumberFormat="1" applyFont="1" applyBorder="1" applyAlignment="1">
      <alignment horizontal="center" vertical="center"/>
    </xf>
    <xf numFmtId="164" fontId="41" fillId="2" borderId="48" xfId="0" applyNumberFormat="1" applyFont="1" applyFill="1" applyBorder="1" applyAlignment="1">
      <alignment horizontal="center" vertical="center"/>
    </xf>
    <xf numFmtId="0" fontId="41" fillId="2" borderId="49" xfId="0" applyFont="1" applyFill="1" applyBorder="1" applyAlignment="1">
      <alignment horizontal="center" vertical="center"/>
    </xf>
    <xf numFmtId="164" fontId="41" fillId="15" borderId="5" xfId="0" applyNumberFormat="1" applyFont="1" applyFill="1" applyBorder="1" applyAlignment="1">
      <alignment horizontal="center" vertical="center"/>
    </xf>
    <xf numFmtId="10" fontId="41" fillId="15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41" fillId="15" borderId="5" xfId="0" applyFont="1" applyFill="1" applyBorder="1" applyAlignment="1" applyProtection="1">
      <alignment horizontal="center" vertical="center"/>
      <protection locked="0"/>
    </xf>
    <xf numFmtId="0" fontId="40" fillId="15" borderId="5" xfId="0" applyFont="1" applyFill="1" applyBorder="1" applyAlignment="1" applyProtection="1">
      <alignment horizontal="center" vertical="center"/>
      <protection locked="0"/>
    </xf>
    <xf numFmtId="0" fontId="39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42" fillId="15" borderId="39" xfId="0" applyFont="1" applyFill="1" applyBorder="1" applyAlignment="1">
      <alignment horizontal="center"/>
    </xf>
    <xf numFmtId="0" fontId="42" fillId="15" borderId="6" xfId="0" applyFont="1" applyFill="1" applyBorder="1" applyAlignment="1">
      <alignment horizontal="center"/>
    </xf>
    <xf numFmtId="0" fontId="42" fillId="15" borderId="7" xfId="0" applyFont="1" applyFill="1" applyBorder="1" applyAlignment="1">
      <alignment horizontal="center"/>
    </xf>
    <xf numFmtId="164" fontId="4" fillId="0" borderId="39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0" fillId="15" borderId="5" xfId="0" applyNumberFormat="1" applyFont="1" applyFill="1" applyBorder="1" applyAlignment="1">
      <alignment horizontal="left"/>
    </xf>
    <xf numFmtId="0" fontId="40" fillId="15" borderId="39" xfId="0" applyFont="1" applyFill="1" applyBorder="1" applyAlignment="1" applyProtection="1">
      <alignment horizontal="center" vertical="center"/>
      <protection locked="0"/>
    </xf>
    <xf numFmtId="0" fontId="40" fillId="15" borderId="6" xfId="0" applyFont="1" applyFill="1" applyBorder="1" applyAlignment="1" applyProtection="1">
      <alignment horizontal="center" vertical="center"/>
      <protection locked="0"/>
    </xf>
    <xf numFmtId="0" fontId="40" fillId="15" borderId="7" xfId="0" applyFont="1" applyFill="1" applyBorder="1" applyAlignment="1" applyProtection="1">
      <alignment horizontal="center" vertical="center"/>
      <protection locked="0"/>
    </xf>
    <xf numFmtId="0" fontId="43" fillId="15" borderId="39" xfId="3" applyFont="1" applyFill="1" applyBorder="1" applyAlignment="1" applyProtection="1">
      <alignment horizontal="center" vertical="center"/>
      <protection locked="0"/>
    </xf>
    <xf numFmtId="0" fontId="44" fillId="15" borderId="6" xfId="3" applyFont="1" applyFill="1" applyBorder="1" applyAlignment="1" applyProtection="1">
      <alignment horizontal="center" vertical="center"/>
      <protection locked="0"/>
    </xf>
    <xf numFmtId="0" fontId="44" fillId="15" borderId="7" xfId="3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3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41" xfId="0" applyFont="1" applyBorder="1" applyAlignment="1">
      <alignment horizontal="left" vertical="center" indent="1"/>
    </xf>
    <xf numFmtId="0" fontId="1" fillId="0" borderId="5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3" fillId="17" borderId="57" xfId="4" applyFont="1" applyFill="1" applyBorder="1" applyAlignment="1">
      <alignment horizontal="center" vertical="top" wrapText="1"/>
    </xf>
    <xf numFmtId="0" fontId="34" fillId="15" borderId="43" xfId="5" applyFont="1" applyFill="1" applyBorder="1" applyAlignment="1">
      <alignment horizontal="center" vertical="center" wrapText="1"/>
    </xf>
    <xf numFmtId="0" fontId="34" fillId="15" borderId="45" xfId="5" applyFont="1" applyFill="1" applyBorder="1" applyAlignment="1">
      <alignment horizontal="center" vertical="center" wrapText="1"/>
    </xf>
    <xf numFmtId="0" fontId="30" fillId="0" borderId="57" xfId="0" applyFont="1" applyBorder="1" applyAlignment="1">
      <alignment horizontal="justify" vertical="top" wrapText="1"/>
    </xf>
    <xf numFmtId="0" fontId="30" fillId="0" borderId="58" xfId="0" applyFont="1" applyBorder="1" applyAlignment="1">
      <alignment horizontal="justify" vertical="top" wrapText="1"/>
    </xf>
    <xf numFmtId="0" fontId="33" fillId="17" borderId="0" xfId="4" applyFont="1" applyFill="1" applyBorder="1" applyAlignment="1">
      <alignment horizontal="center" vertical="center" wrapText="1"/>
    </xf>
    <xf numFmtId="0" fontId="32" fillId="15" borderId="59" xfId="5" applyFont="1" applyFill="1" applyBorder="1" applyAlignment="1">
      <alignment horizontal="center" vertical="center" wrapText="1"/>
    </xf>
    <xf numFmtId="0" fontId="32" fillId="15" borderId="60" xfId="5" applyFont="1" applyFill="1" applyBorder="1" applyAlignment="1">
      <alignment horizontal="center" vertical="center" wrapText="1"/>
    </xf>
    <xf numFmtId="0" fontId="32" fillId="15" borderId="59" xfId="5" applyFont="1" applyFill="1" applyBorder="1" applyAlignment="1">
      <alignment horizontal="center" vertical="top" wrapText="1"/>
    </xf>
    <xf numFmtId="0" fontId="32" fillId="15" borderId="60" xfId="5" applyFont="1" applyFill="1" applyBorder="1" applyAlignment="1">
      <alignment horizontal="center" vertical="top" wrapText="1"/>
    </xf>
    <xf numFmtId="0" fontId="32" fillId="15" borderId="61" xfId="5" applyFont="1" applyFill="1" applyBorder="1" applyAlignment="1">
      <alignment horizontal="center" vertical="top" wrapText="1"/>
    </xf>
    <xf numFmtId="0" fontId="32" fillId="15" borderId="57" xfId="5" applyFont="1" applyFill="1" applyBorder="1" applyAlignment="1">
      <alignment horizontal="center" vertical="top" wrapText="1"/>
    </xf>
    <xf numFmtId="0" fontId="33" fillId="17" borderId="62" xfId="4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center" wrapText="1"/>
    </xf>
    <xf numFmtId="0" fontId="32" fillId="15" borderId="0" xfId="5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top" wrapText="1"/>
    </xf>
    <xf numFmtId="0" fontId="32" fillId="15" borderId="0" xfId="5" applyFont="1" applyFill="1" applyBorder="1" applyAlignment="1">
      <alignment horizontal="center" vertical="top" wrapText="1"/>
    </xf>
    <xf numFmtId="0" fontId="32" fillId="15" borderId="78" xfId="5" applyFont="1" applyFill="1" applyBorder="1" applyAlignment="1">
      <alignment horizontal="center" vertical="top" wrapText="1"/>
    </xf>
    <xf numFmtId="0" fontId="32" fillId="15" borderId="76" xfId="5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30" fillId="0" borderId="83" xfId="0" applyFont="1" applyBorder="1" applyAlignment="1">
      <alignment horizontal="center" vertical="top" wrapText="1"/>
    </xf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16" fillId="0" borderId="10" xfId="3" quotePrefix="1" applyBorder="1" applyAlignment="1">
      <alignment vertical="center"/>
    </xf>
    <xf numFmtId="0" fontId="16" fillId="0" borderId="14" xfId="3" applyBorder="1" applyAlignment="1">
      <alignment vertical="center"/>
    </xf>
    <xf numFmtId="0" fontId="16" fillId="0" borderId="17" xfId="3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7" fillId="0" borderId="57" xfId="0" quotePrefix="1" applyFont="1" applyBorder="1" applyAlignment="1">
      <alignment horizontal="center" vertical="top" wrapText="1"/>
    </xf>
    <xf numFmtId="0" fontId="37" fillId="3" borderId="57" xfId="0" applyFont="1" applyFill="1" applyBorder="1" applyAlignment="1">
      <alignment horizontal="center" vertical="top" wrapText="1"/>
    </xf>
    <xf numFmtId="0" fontId="37" fillId="3" borderId="57" xfId="0" quotePrefix="1" applyFont="1" applyFill="1" applyBorder="1" applyAlignment="1">
      <alignment horizontal="center" vertical="top" wrapText="1"/>
    </xf>
    <xf numFmtId="0" fontId="33" fillId="17" borderId="84" xfId="4" applyFont="1" applyFill="1" applyBorder="1" applyAlignment="1">
      <alignment horizontal="center" vertical="top" wrapText="1"/>
    </xf>
    <xf numFmtId="0" fontId="33" fillId="17" borderId="85" xfId="4" applyFont="1" applyFill="1" applyBorder="1" applyAlignment="1">
      <alignment horizontal="center" vertical="top" wrapText="1"/>
    </xf>
    <xf numFmtId="164" fontId="23" fillId="0" borderId="86" xfId="0" applyNumberFormat="1" applyFont="1" applyBorder="1" applyAlignment="1">
      <alignment horizontal="center" vertical="center" wrapText="1"/>
    </xf>
    <xf numFmtId="0" fontId="32" fillId="15" borderId="87" xfId="5" applyFont="1" applyFill="1" applyBorder="1" applyAlignment="1">
      <alignment horizontal="center" vertical="top" wrapText="1"/>
    </xf>
    <xf numFmtId="164" fontId="23" fillId="0" borderId="88" xfId="0" applyNumberFormat="1" applyFont="1" applyBorder="1" applyAlignment="1">
      <alignment horizontal="center" vertical="center" wrapText="1"/>
    </xf>
    <xf numFmtId="0" fontId="29" fillId="0" borderId="89" xfId="0" applyFont="1" applyBorder="1" applyAlignment="1">
      <alignment horizontal="left" vertical="center" wrapText="1"/>
    </xf>
    <xf numFmtId="164" fontId="17" fillId="0" borderId="88" xfId="5" applyNumberFormat="1" applyFill="1" applyBorder="1" applyAlignment="1">
      <alignment horizontal="center" vertical="top" wrapText="1"/>
    </xf>
    <xf numFmtId="0" fontId="31" fillId="0" borderId="89" xfId="0" applyFont="1" applyBorder="1" applyAlignment="1">
      <alignment vertical="top" wrapText="1"/>
    </xf>
    <xf numFmtId="164" fontId="21" fillId="0" borderId="88" xfId="4" applyNumberFormat="1" applyFont="1" applyFill="1" applyBorder="1" applyAlignment="1">
      <alignment horizontal="center" vertical="center" wrapText="1"/>
    </xf>
    <xf numFmtId="0" fontId="31" fillId="0" borderId="89" xfId="0" applyFont="1" applyBorder="1" applyAlignment="1">
      <alignment horizontal="left" vertical="top" wrapText="1"/>
    </xf>
    <xf numFmtId="0" fontId="0" fillId="0" borderId="88" xfId="0" applyBorder="1"/>
    <xf numFmtId="0" fontId="30" fillId="0" borderId="87" xfId="0" applyFont="1" applyBorder="1" applyAlignment="1">
      <alignment horizontal="right" vertical="top" wrapText="1"/>
    </xf>
    <xf numFmtId="164" fontId="0" fillId="0" borderId="88" xfId="0" applyNumberFormat="1" applyBorder="1" applyAlignment="1">
      <alignment horizontal="center" vertical="center"/>
    </xf>
    <xf numFmtId="0" fontId="31" fillId="0" borderId="89" xfId="0" applyFont="1" applyBorder="1" applyAlignment="1">
      <alignment horizontal="justify" vertical="top" wrapText="1"/>
    </xf>
    <xf numFmtId="0" fontId="50" fillId="0" borderId="88" xfId="0" applyFont="1" applyBorder="1"/>
    <xf numFmtId="0" fontId="0" fillId="0" borderId="89" xfId="0" applyBorder="1"/>
    <xf numFmtId="164" fontId="52" fillId="20" borderId="88" xfId="0" quotePrefix="1" applyNumberFormat="1" applyFont="1" applyFill="1" applyBorder="1" applyAlignment="1">
      <alignment horizontal="left"/>
    </xf>
    <xf numFmtId="0" fontId="52" fillId="0" borderId="90" xfId="0" applyFont="1" applyBorder="1"/>
    <xf numFmtId="0" fontId="33" fillId="17" borderId="91" xfId="4" applyFont="1" applyFill="1" applyBorder="1" applyAlignment="1">
      <alignment horizontal="center" vertical="center" wrapText="1"/>
    </xf>
    <xf numFmtId="164" fontId="33" fillId="17" borderId="92" xfId="4" applyNumberFormat="1" applyFont="1" applyFill="1" applyBorder="1" applyAlignment="1">
      <alignment horizontal="center" vertical="center" wrapText="1"/>
    </xf>
    <xf numFmtId="164" fontId="48" fillId="8" borderId="93" xfId="0" applyNumberFormat="1" applyFont="1" applyFill="1" applyBorder="1"/>
    <xf numFmtId="0" fontId="30" fillId="21" borderId="0" xfId="5" applyFont="1" applyFill="1" applyBorder="1" applyAlignment="1">
      <alignment horizontal="left" vertical="top" wrapText="1"/>
    </xf>
    <xf numFmtId="164" fontId="30" fillId="21" borderId="53" xfId="0" applyNumberFormat="1" applyFont="1" applyFill="1" applyBorder="1" applyAlignment="1">
      <alignment horizontal="center" vertical="center"/>
    </xf>
    <xf numFmtId="164" fontId="30" fillId="21" borderId="0" xfId="0" applyNumberFormat="1" applyFont="1" applyFill="1" applyAlignment="1">
      <alignment horizontal="center" vertical="center"/>
    </xf>
    <xf numFmtId="164" fontId="30" fillId="21" borderId="0" xfId="0" applyNumberFormat="1" applyFont="1" applyFill="1" applyAlignment="1">
      <alignment vertical="center"/>
    </xf>
    <xf numFmtId="164" fontId="36" fillId="21" borderId="50" xfId="0" applyNumberFormat="1" applyFont="1" applyFill="1" applyBorder="1" applyAlignment="1">
      <alignment horizontal="right"/>
    </xf>
    <xf numFmtId="0" fontId="36" fillId="0" borderId="0" xfId="0" applyFont="1" applyFill="1"/>
    <xf numFmtId="164" fontId="36" fillId="0" borderId="0" xfId="0" applyNumberFormat="1" applyFont="1" applyFill="1" applyAlignment="1">
      <alignment horizontal="center" vertical="center"/>
    </xf>
    <xf numFmtId="165" fontId="36" fillId="0" borderId="0" xfId="0" applyNumberFormat="1" applyFont="1" applyFill="1"/>
    <xf numFmtId="164" fontId="36" fillId="0" borderId="0" xfId="0" applyNumberFormat="1" applyFont="1" applyFill="1" applyAlignment="1">
      <alignment horizontal="right"/>
    </xf>
    <xf numFmtId="164" fontId="30" fillId="0" borderId="50" xfId="0" applyNumberFormat="1" applyFont="1" applyFill="1" applyBorder="1" applyAlignment="1">
      <alignment horizontal="center" vertical="center"/>
    </xf>
    <xf numFmtId="164" fontId="30" fillId="0" borderId="50" xfId="0" applyNumberFormat="1" applyFont="1" applyFill="1" applyBorder="1" applyAlignment="1">
      <alignment horizontal="center"/>
    </xf>
    <xf numFmtId="165" fontId="30" fillId="0" borderId="50" xfId="0" applyNumberFormat="1" applyFont="1" applyFill="1" applyBorder="1"/>
    <xf numFmtId="164" fontId="30" fillId="0" borderId="50" xfId="0" applyNumberFormat="1" applyFont="1" applyFill="1" applyBorder="1" applyAlignment="1">
      <alignment horizontal="right"/>
    </xf>
  </cellXfs>
  <cellStyles count="7">
    <cellStyle name="20% - Énfasis1" xfId="6" builtinId="30"/>
    <cellStyle name="40% - Énfasis3" xfId="5" builtinId="39"/>
    <cellStyle name="Énfasis3" xfId="4" builtinId="37"/>
    <cellStyle name="Hipervínculo" xfId="3" builtinId="8"/>
    <cellStyle name="Normal" xfId="0" builtinId="0"/>
    <cellStyle name="Standard 3" xfId="2" xr:uid="{A5F28685-94AB-4703-B33E-56236AED3CF1}"/>
    <cellStyle name="Standard_MATERIAL2003 2 2" xfId="1" xr:uid="{DF106B60-383A-4881-861A-3703BAF99201}"/>
  </cellStyles>
  <dxfs count="1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hair">
          <color indexed="64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008000"/>
      <color rgb="FFF4F9F1"/>
      <color rgb="FF0046AD"/>
      <color rgb="FFD9E2F3"/>
      <color rgb="FF0046DB"/>
      <color rgb="FF8EAADB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56915</xdr:rowOff>
    </xdr:from>
    <xdr:to>
      <xdr:col>2</xdr:col>
      <xdr:colOff>171450</xdr:colOff>
      <xdr:row>4</xdr:row>
      <xdr:rowOff>76434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A6689EF8-0B53-458D-907A-0474DF62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3875" y="174146"/>
          <a:ext cx="409575" cy="39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6BFD1-0335-4BE6-851D-B9E1451F678A}" name="Tabla2" displayName="Tabla2" ref="A1:E152" totalsRowShown="0" headerRowDxfId="10" tableBorderDxfId="9" headerRowCellStyle="Standard_MATERIAL2003 2 2">
  <autoFilter ref="A1:E152" xr:uid="{0BA9CA05-1525-4890-B02C-7D107D889D47}"/>
  <tableColumns count="5">
    <tableColumn id="1" xr3:uid="{3713D286-5CE6-4C71-949B-756D1F875927}" name="material cost (lab)" dataDxfId="8"/>
    <tableColumn id="2" xr3:uid="{C6C3C43C-F511-43FB-A16A-3CF8069E0A17}" name="max. 40 Characters" dataDxfId="7"/>
    <tableColumn id="3" xr3:uid="{5124BA01-F96B-4903-8AB2-A7626D75F941}" name="max. 80 Characters" dataDxfId="6"/>
    <tableColumn id="4" xr3:uid="{DDB50D2F-29D0-4FEE-8C97-F5A6AF2ED22E}" name="max. 40 Characters2" dataDxfId="5"/>
    <tableColumn id="5" xr3:uid="{157E6DB0-7B2A-4AE9-B60C-394F34DD56F7}" name="max. 80 Characters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612B-C38C-49A1-8C76-AB099000938C}">
  <sheetPr>
    <tabColor rgb="FF0070C0"/>
  </sheetPr>
  <dimension ref="A1:AY217"/>
  <sheetViews>
    <sheetView showGridLines="0" topLeftCell="A5" zoomScale="130" zoomScaleNormal="130" workbookViewId="0">
      <selection activeCell="E9" sqref="E9:N9"/>
    </sheetView>
  </sheetViews>
  <sheetFormatPr baseColWidth="10" defaultRowHeight="14.5" x14ac:dyDescent="0.35"/>
  <cols>
    <col min="1" max="3" width="5.6328125" customWidth="1"/>
    <col min="4" max="4" width="8.08984375" customWidth="1"/>
    <col min="5" max="44" width="5.6328125" customWidth="1"/>
  </cols>
  <sheetData>
    <row r="1" spans="2:47" ht="9" customHeight="1" x14ac:dyDescent="0.35">
      <c r="F1" s="315"/>
      <c r="G1" s="315"/>
      <c r="H1" s="315"/>
      <c r="I1" s="315"/>
      <c r="J1" s="315"/>
      <c r="K1" s="315"/>
      <c r="L1" s="315"/>
      <c r="M1" s="315"/>
      <c r="N1" s="73"/>
      <c r="O1" s="73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</row>
    <row r="2" spans="2:47" ht="9.9" customHeight="1" x14ac:dyDescent="0.35">
      <c r="B2" s="318" t="s">
        <v>830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</row>
    <row r="3" spans="2:47" ht="9.9" customHeight="1" x14ac:dyDescent="0.35"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</row>
    <row r="4" spans="2:47" ht="9.9" customHeight="1" x14ac:dyDescent="0.35"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</row>
    <row r="5" spans="2:47" ht="9.9" customHeight="1" x14ac:dyDescent="0.35"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</row>
    <row r="6" spans="2:47" ht="5.15" customHeight="1" x14ac:dyDescent="0.35"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</row>
    <row r="7" spans="2:47" ht="12" customHeight="1" x14ac:dyDescent="0.35">
      <c r="B7" s="287" t="s">
        <v>831</v>
      </c>
      <c r="C7" s="287"/>
      <c r="D7" s="287"/>
      <c r="E7" s="320"/>
      <c r="F7" s="320"/>
      <c r="G7" s="320"/>
      <c r="H7" s="320"/>
      <c r="I7" s="79" t="s">
        <v>832</v>
      </c>
      <c r="J7" s="320"/>
      <c r="K7" s="320"/>
      <c r="L7" s="320"/>
      <c r="M7" s="320"/>
      <c r="N7" s="320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</row>
    <row r="8" spans="2:47" ht="12" customHeight="1" x14ac:dyDescent="0.35">
      <c r="B8" s="287" t="s">
        <v>833</v>
      </c>
      <c r="C8" s="287"/>
      <c r="D8" s="287"/>
      <c r="E8" s="317"/>
      <c r="F8" s="317"/>
      <c r="G8" s="317"/>
      <c r="H8" s="317"/>
      <c r="I8" s="75"/>
      <c r="J8" s="317" t="s">
        <v>991</v>
      </c>
      <c r="K8" s="317"/>
      <c r="L8" s="317"/>
      <c r="M8" s="317"/>
      <c r="N8" s="317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</row>
    <row r="9" spans="2:47" ht="12" customHeight="1" x14ac:dyDescent="0.35">
      <c r="B9" s="287" t="s">
        <v>834</v>
      </c>
      <c r="C9" s="287"/>
      <c r="D9" s="287"/>
      <c r="E9" s="316" t="s">
        <v>993</v>
      </c>
      <c r="F9" s="316"/>
      <c r="G9" s="316"/>
      <c r="H9" s="316"/>
      <c r="I9" s="316"/>
      <c r="J9" s="316"/>
      <c r="K9" s="316"/>
      <c r="L9" s="316"/>
      <c r="M9" s="316"/>
      <c r="N9" s="316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</row>
    <row r="10" spans="2:47" ht="12" customHeight="1" x14ac:dyDescent="0.35">
      <c r="B10" s="287" t="s">
        <v>835</v>
      </c>
      <c r="C10" s="287"/>
      <c r="D10" s="287"/>
      <c r="E10" s="316" t="s">
        <v>709</v>
      </c>
      <c r="F10" s="316"/>
      <c r="G10" s="316"/>
      <c r="H10" s="316"/>
      <c r="I10" s="316"/>
      <c r="J10" s="316"/>
      <c r="K10" s="316"/>
      <c r="L10" s="316"/>
      <c r="M10" s="316"/>
      <c r="N10" s="316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</row>
    <row r="11" spans="2:47" ht="12" customHeight="1" x14ac:dyDescent="0.35">
      <c r="B11" s="287" t="s">
        <v>836</v>
      </c>
      <c r="C11" s="287"/>
      <c r="D11" s="287"/>
      <c r="E11" s="316" t="s">
        <v>777</v>
      </c>
      <c r="F11" s="316"/>
      <c r="G11" s="316"/>
      <c r="H11" s="316"/>
      <c r="I11" s="316"/>
      <c r="J11" s="316"/>
      <c r="K11" s="316"/>
      <c r="L11" s="316"/>
      <c r="M11" s="316"/>
      <c r="N11" s="316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</row>
    <row r="12" spans="2:47" ht="5.15" customHeight="1" thickBot="1" x14ac:dyDescent="0.4">
      <c r="B12" s="2"/>
      <c r="F12" s="1"/>
      <c r="G12" s="1"/>
      <c r="H12" s="1"/>
      <c r="I12" s="1"/>
      <c r="J12" s="1"/>
      <c r="K12" s="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</row>
    <row r="13" spans="2:47" ht="12" customHeight="1" thickBot="1" x14ac:dyDescent="0.4">
      <c r="B13" s="287" t="s">
        <v>837</v>
      </c>
      <c r="C13" s="287"/>
      <c r="D13" s="287"/>
      <c r="E13" s="328"/>
      <c r="F13" s="329"/>
      <c r="G13" s="329"/>
      <c r="H13" s="330"/>
      <c r="I13" s="1"/>
      <c r="J13" s="301" t="s">
        <v>858</v>
      </c>
      <c r="K13" s="302"/>
      <c r="L13" s="302"/>
      <c r="M13" s="302"/>
      <c r="N13" s="303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</row>
    <row r="14" spans="2:47" ht="12" customHeight="1" x14ac:dyDescent="0.35">
      <c r="B14" s="287" t="s">
        <v>838</v>
      </c>
      <c r="C14" s="287"/>
      <c r="D14" s="287"/>
      <c r="E14" s="322"/>
      <c r="F14" s="323"/>
      <c r="G14" s="323"/>
      <c r="H14" s="324"/>
      <c r="I14" s="1"/>
      <c r="J14" s="338" t="s">
        <v>789</v>
      </c>
      <c r="K14" s="339"/>
      <c r="L14" s="339"/>
      <c r="M14" s="290">
        <f>+(E36+E47+F65+E52)-(E36+E47+F65+E52)*G19</f>
        <v>669.09999999999991</v>
      </c>
      <c r="N14" s="29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</row>
    <row r="15" spans="2:47" ht="12" customHeight="1" thickBot="1" x14ac:dyDescent="0.4">
      <c r="B15" s="287" t="s">
        <v>839</v>
      </c>
      <c r="C15" s="287"/>
      <c r="D15" s="287"/>
      <c r="E15" s="328"/>
      <c r="F15" s="329"/>
      <c r="G15" s="329"/>
      <c r="H15" s="330"/>
      <c r="I15" s="1"/>
      <c r="J15" s="334" t="s">
        <v>790</v>
      </c>
      <c r="K15" s="335"/>
      <c r="L15" s="335"/>
      <c r="M15" s="292">
        <f>+E36+E47+E52+E65*61.4</f>
        <v>667.9</v>
      </c>
      <c r="N15" s="293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</row>
    <row r="16" spans="2:47" ht="12" customHeight="1" thickBot="1" x14ac:dyDescent="0.4">
      <c r="B16" s="287" t="s">
        <v>840</v>
      </c>
      <c r="C16" s="287"/>
      <c r="D16" s="287"/>
      <c r="E16" s="331"/>
      <c r="F16" s="332"/>
      <c r="G16" s="332"/>
      <c r="H16" s="333"/>
      <c r="I16" s="1"/>
      <c r="J16" s="285" t="s">
        <v>791</v>
      </c>
      <c r="K16" s="286"/>
      <c r="L16" s="286"/>
      <c r="M16" s="295">
        <f>+(M21-M15)/M21</f>
        <v>0.20488095238095241</v>
      </c>
      <c r="N16" s="296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</row>
    <row r="17" spans="2:47" ht="12" customHeight="1" x14ac:dyDescent="0.35">
      <c r="B17" s="3"/>
      <c r="C17" s="3"/>
      <c r="D17" s="3"/>
      <c r="E17" s="3"/>
      <c r="F17" s="3"/>
      <c r="G17" s="3"/>
      <c r="H17" s="3"/>
      <c r="I17" s="1"/>
      <c r="J17" s="338" t="s">
        <v>796</v>
      </c>
      <c r="K17" s="339"/>
      <c r="L17" s="339"/>
      <c r="M17" s="297">
        <f>+E65</f>
        <v>5</v>
      </c>
      <c r="N17" s="298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</row>
    <row r="18" spans="2:47" ht="12" customHeight="1" x14ac:dyDescent="0.35">
      <c r="B18" s="287" t="s">
        <v>841</v>
      </c>
      <c r="C18" s="287"/>
      <c r="D18" s="287"/>
      <c r="E18" s="287"/>
      <c r="F18" s="287"/>
      <c r="G18" s="310">
        <v>0.19</v>
      </c>
      <c r="H18" s="310"/>
      <c r="I18" s="1"/>
      <c r="J18" s="336" t="s">
        <v>792</v>
      </c>
      <c r="K18" s="337"/>
      <c r="L18" s="337"/>
      <c r="M18" s="299">
        <f>IFERROR(IF(F65/E65&gt;=40,(F65)/40,E65),0)</f>
        <v>7.7050000000000001</v>
      </c>
      <c r="N18" s="300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</row>
    <row r="19" spans="2:47" ht="12" customHeight="1" x14ac:dyDescent="0.35">
      <c r="B19" s="287" t="s">
        <v>842</v>
      </c>
      <c r="C19" s="287"/>
      <c r="D19" s="287"/>
      <c r="E19" s="287"/>
      <c r="F19" s="287"/>
      <c r="G19" s="311">
        <v>0</v>
      </c>
      <c r="H19" s="311"/>
      <c r="I19" s="1"/>
      <c r="J19" s="336" t="s">
        <v>793</v>
      </c>
      <c r="K19" s="337"/>
      <c r="L19" s="337"/>
      <c r="M19" s="307">
        <f>+E36+E52</f>
        <v>360.9</v>
      </c>
      <c r="N19" s="300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</row>
    <row r="20" spans="2:47" ht="12" customHeight="1" thickBot="1" x14ac:dyDescent="0.4">
      <c r="B20" s="3"/>
      <c r="C20" s="3"/>
      <c r="D20" s="3"/>
      <c r="E20" s="3"/>
      <c r="F20" s="3"/>
      <c r="G20" s="3"/>
      <c r="H20" s="3"/>
      <c r="I20" s="1"/>
      <c r="J20" s="334" t="s">
        <v>794</v>
      </c>
      <c r="K20" s="335"/>
      <c r="L20" s="335"/>
      <c r="M20" s="292">
        <f>+E47</f>
        <v>0</v>
      </c>
      <c r="N20" s="293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</row>
    <row r="21" spans="2:47" ht="12" customHeight="1" thickBot="1" x14ac:dyDescent="0.4">
      <c r="B21" s="287" t="s">
        <v>843</v>
      </c>
      <c r="C21" s="287"/>
      <c r="D21" s="287"/>
      <c r="E21" s="304" t="s">
        <v>860</v>
      </c>
      <c r="F21" s="305"/>
      <c r="G21" s="305"/>
      <c r="H21" s="306"/>
      <c r="I21" s="1"/>
      <c r="J21" s="285" t="s">
        <v>795</v>
      </c>
      <c r="K21" s="286"/>
      <c r="L21" s="286"/>
      <c r="M21" s="308">
        <f>OFERTA!H70</f>
        <v>840</v>
      </c>
      <c r="N21" s="309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</row>
    <row r="22" spans="2:47" ht="5.15" customHeight="1" x14ac:dyDescent="0.35">
      <c r="I22" s="1"/>
      <c r="J22" s="1"/>
      <c r="K22" s="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</row>
    <row r="23" spans="2:47" x14ac:dyDescent="0.35">
      <c r="B23" s="288" t="s">
        <v>778</v>
      </c>
      <c r="C23" s="288"/>
      <c r="D23" s="288"/>
      <c r="E23" s="288"/>
      <c r="F23" s="288"/>
      <c r="G23" s="288"/>
      <c r="H23" s="2"/>
      <c r="I23" s="288" t="s">
        <v>782</v>
      </c>
      <c r="J23" s="288"/>
      <c r="K23" s="288"/>
      <c r="L23" s="288"/>
      <c r="M23" s="288"/>
      <c r="N23" s="288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</row>
    <row r="24" spans="2:47" ht="12" customHeight="1" x14ac:dyDescent="0.35">
      <c r="B24" s="289" t="s">
        <v>844</v>
      </c>
      <c r="C24" s="289"/>
      <c r="D24" s="289"/>
      <c r="E24" s="294">
        <f>OFERTA!H24</f>
        <v>325.89999999999998</v>
      </c>
      <c r="F24" s="294"/>
      <c r="G24" s="294"/>
      <c r="H24" s="69"/>
      <c r="I24" s="282"/>
      <c r="J24" s="282"/>
      <c r="K24" s="282"/>
      <c r="L24" s="282"/>
      <c r="M24" s="282"/>
      <c r="N24" s="282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</row>
    <row r="25" spans="2:47" ht="12" customHeight="1" x14ac:dyDescent="0.35">
      <c r="B25" s="289" t="s">
        <v>845</v>
      </c>
      <c r="C25" s="289"/>
      <c r="D25" s="289"/>
      <c r="E25" s="294">
        <f>OFERTA!H55</f>
        <v>0</v>
      </c>
      <c r="F25" s="294"/>
      <c r="G25" s="294"/>
      <c r="H25" s="69"/>
      <c r="I25" s="282"/>
      <c r="J25" s="282"/>
      <c r="K25" s="282"/>
      <c r="L25" s="282"/>
      <c r="M25" s="282"/>
      <c r="N25" s="282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</row>
    <row r="26" spans="2:47" ht="12" customHeight="1" x14ac:dyDescent="0.35">
      <c r="B26" s="289" t="s">
        <v>846</v>
      </c>
      <c r="C26" s="289"/>
      <c r="D26" s="289"/>
      <c r="E26" s="294">
        <f>OFERTA!H49</f>
        <v>35</v>
      </c>
      <c r="F26" s="294"/>
      <c r="G26" s="294"/>
      <c r="H26" s="69"/>
      <c r="I26" s="282"/>
      <c r="J26" s="282"/>
      <c r="K26" s="282"/>
      <c r="L26" s="282"/>
      <c r="M26" s="282"/>
      <c r="N26" s="282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</row>
    <row r="27" spans="2:47" ht="12" customHeight="1" x14ac:dyDescent="0.35">
      <c r="B27" s="289" t="s">
        <v>810</v>
      </c>
      <c r="C27" s="289"/>
      <c r="D27" s="289"/>
      <c r="E27" s="294"/>
      <c r="F27" s="294"/>
      <c r="G27" s="294"/>
      <c r="H27" s="69"/>
      <c r="I27" s="282"/>
      <c r="J27" s="282"/>
      <c r="K27" s="282"/>
      <c r="L27" s="282"/>
      <c r="M27" s="282"/>
      <c r="N27" s="282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</row>
    <row r="28" spans="2:47" ht="12" customHeight="1" x14ac:dyDescent="0.35">
      <c r="B28" s="289" t="s">
        <v>779</v>
      </c>
      <c r="C28" s="289"/>
      <c r="D28" s="289"/>
      <c r="E28" s="294"/>
      <c r="F28" s="294"/>
      <c r="G28" s="294"/>
      <c r="H28" s="69"/>
      <c r="I28" s="282"/>
      <c r="J28" s="282"/>
      <c r="K28" s="282"/>
      <c r="L28" s="282"/>
      <c r="M28" s="282"/>
      <c r="N28" s="282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</row>
    <row r="29" spans="2:47" ht="12" customHeight="1" x14ac:dyDescent="0.35">
      <c r="B29" s="289" t="s">
        <v>780</v>
      </c>
      <c r="C29" s="289"/>
      <c r="D29" s="289"/>
      <c r="E29" s="294"/>
      <c r="F29" s="294"/>
      <c r="G29" s="294"/>
      <c r="H29" s="69"/>
      <c r="I29" s="282"/>
      <c r="J29" s="282"/>
      <c r="K29" s="282"/>
      <c r="L29" s="282"/>
      <c r="M29" s="282"/>
      <c r="N29" s="282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</row>
    <row r="30" spans="2:47" ht="12" customHeight="1" x14ac:dyDescent="0.35">
      <c r="B30" s="289" t="s">
        <v>804</v>
      </c>
      <c r="C30" s="289"/>
      <c r="D30" s="289"/>
      <c r="E30" s="294"/>
      <c r="F30" s="294"/>
      <c r="G30" s="294"/>
      <c r="H30" s="69"/>
      <c r="I30" s="282"/>
      <c r="J30" s="282"/>
      <c r="K30" s="282"/>
      <c r="L30" s="282"/>
      <c r="M30" s="282"/>
      <c r="N30" s="282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</row>
    <row r="31" spans="2:47" ht="12" customHeight="1" x14ac:dyDescent="0.35">
      <c r="B31" s="289" t="s">
        <v>847</v>
      </c>
      <c r="C31" s="289"/>
      <c r="D31" s="289"/>
      <c r="E31" s="294"/>
      <c r="F31" s="294"/>
      <c r="G31" s="294"/>
      <c r="H31" s="69"/>
      <c r="I31" s="282"/>
      <c r="J31" s="282"/>
      <c r="K31" s="282"/>
      <c r="L31" s="282"/>
      <c r="M31" s="282"/>
      <c r="N31" s="282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</row>
    <row r="32" spans="2:47" ht="12" customHeight="1" x14ac:dyDescent="0.35">
      <c r="B32" s="289" t="s">
        <v>805</v>
      </c>
      <c r="C32" s="289"/>
      <c r="D32" s="289"/>
      <c r="E32" s="294"/>
      <c r="F32" s="294"/>
      <c r="G32" s="294"/>
      <c r="H32" s="69"/>
      <c r="I32" s="282"/>
      <c r="J32" s="282"/>
      <c r="K32" s="282"/>
      <c r="L32" s="282"/>
      <c r="M32" s="282"/>
      <c r="N32" s="282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</row>
    <row r="33" spans="2:47" ht="12" customHeight="1" x14ac:dyDescent="0.35">
      <c r="B33" s="289" t="s">
        <v>780</v>
      </c>
      <c r="C33" s="289"/>
      <c r="D33" s="289"/>
      <c r="E33" s="294"/>
      <c r="F33" s="294"/>
      <c r="G33" s="294"/>
      <c r="H33" s="69"/>
      <c r="I33" s="282"/>
      <c r="J33" s="282"/>
      <c r="K33" s="282"/>
      <c r="L33" s="282"/>
      <c r="M33" s="282"/>
      <c r="N33" s="282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</row>
    <row r="34" spans="2:47" ht="12" customHeight="1" x14ac:dyDescent="0.35">
      <c r="B34" s="289" t="s">
        <v>780</v>
      </c>
      <c r="C34" s="289"/>
      <c r="D34" s="289"/>
      <c r="E34" s="294"/>
      <c r="F34" s="294"/>
      <c r="G34" s="294"/>
      <c r="H34" s="69"/>
      <c r="I34" s="282"/>
      <c r="J34" s="282"/>
      <c r="K34" s="282"/>
      <c r="L34" s="282"/>
      <c r="M34" s="282"/>
      <c r="N34" s="282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</row>
    <row r="35" spans="2:47" ht="12" customHeight="1" x14ac:dyDescent="0.35">
      <c r="B35" s="289" t="s">
        <v>780</v>
      </c>
      <c r="C35" s="289"/>
      <c r="D35" s="289"/>
      <c r="E35" s="294"/>
      <c r="F35" s="294"/>
      <c r="G35" s="294"/>
      <c r="H35" s="69"/>
      <c r="I35" s="282"/>
      <c r="J35" s="282"/>
      <c r="K35" s="282"/>
      <c r="L35" s="282"/>
      <c r="M35" s="282"/>
      <c r="N35" s="282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</row>
    <row r="36" spans="2:47" ht="12" customHeight="1" x14ac:dyDescent="0.35">
      <c r="B36" s="314" t="s">
        <v>848</v>
      </c>
      <c r="C36" s="314"/>
      <c r="D36" s="314"/>
      <c r="E36" s="312">
        <f>SUM(E24:G35)</f>
        <v>360.9</v>
      </c>
      <c r="F36" s="313"/>
      <c r="G36" s="313"/>
      <c r="H36" s="69"/>
      <c r="I36" s="282"/>
      <c r="J36" s="282"/>
      <c r="K36" s="282"/>
      <c r="L36" s="282"/>
      <c r="M36" s="282"/>
      <c r="N36" s="282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</row>
    <row r="37" spans="2:47" ht="5.15" customHeight="1" x14ac:dyDescent="0.35"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</row>
    <row r="38" spans="2:47" x14ac:dyDescent="0.35">
      <c r="B38" s="288" t="s">
        <v>783</v>
      </c>
      <c r="C38" s="288"/>
      <c r="D38" s="288"/>
      <c r="E38" s="288"/>
      <c r="F38" s="288"/>
      <c r="G38" s="288"/>
      <c r="H38" s="2"/>
      <c r="I38" s="288" t="s">
        <v>782</v>
      </c>
      <c r="J38" s="288"/>
      <c r="K38" s="288"/>
      <c r="L38" s="288"/>
      <c r="M38" s="288"/>
      <c r="N38" s="288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</row>
    <row r="39" spans="2:47" ht="12" customHeight="1" x14ac:dyDescent="0.35">
      <c r="B39" s="289" t="s">
        <v>784</v>
      </c>
      <c r="C39" s="289"/>
      <c r="D39" s="289"/>
      <c r="E39" s="294">
        <f>OFERTA!H66</f>
        <v>0</v>
      </c>
      <c r="F39" s="294"/>
      <c r="G39" s="294"/>
      <c r="H39" s="69"/>
      <c r="I39" s="282" t="s">
        <v>814</v>
      </c>
      <c r="J39" s="282"/>
      <c r="K39" s="282"/>
      <c r="L39" s="282"/>
      <c r="M39" s="282"/>
      <c r="N39" s="282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</row>
    <row r="40" spans="2:47" ht="12" customHeight="1" x14ac:dyDescent="0.35">
      <c r="B40" s="289" t="s">
        <v>849</v>
      </c>
      <c r="C40" s="289"/>
      <c r="D40" s="289"/>
      <c r="E40" s="294"/>
      <c r="F40" s="294"/>
      <c r="G40" s="294"/>
      <c r="I40" s="282"/>
      <c r="J40" s="282"/>
      <c r="K40" s="282"/>
      <c r="L40" s="282"/>
      <c r="M40" s="282"/>
      <c r="N40" s="282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</row>
    <row r="41" spans="2:47" ht="12" customHeight="1" x14ac:dyDescent="0.35">
      <c r="B41" s="289" t="s">
        <v>850</v>
      </c>
      <c r="C41" s="289"/>
      <c r="D41" s="289"/>
      <c r="E41" s="294"/>
      <c r="F41" s="294"/>
      <c r="G41" s="294"/>
      <c r="I41" s="282"/>
      <c r="J41" s="282"/>
      <c r="K41" s="282"/>
      <c r="L41" s="282"/>
      <c r="M41" s="282"/>
      <c r="N41" s="282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</row>
    <row r="42" spans="2:47" ht="12" customHeight="1" x14ac:dyDescent="0.35">
      <c r="B42" s="289" t="s">
        <v>785</v>
      </c>
      <c r="C42" s="289"/>
      <c r="D42" s="289"/>
      <c r="E42" s="294">
        <f>OFERTA!L66</f>
        <v>0</v>
      </c>
      <c r="F42" s="294"/>
      <c r="G42" s="294"/>
      <c r="I42" s="282"/>
      <c r="J42" s="282"/>
      <c r="K42" s="282"/>
      <c r="L42" s="282"/>
      <c r="M42" s="282"/>
      <c r="N42" s="282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</row>
    <row r="43" spans="2:47" ht="12" customHeight="1" x14ac:dyDescent="0.35">
      <c r="B43" s="289" t="s">
        <v>851</v>
      </c>
      <c r="C43" s="289"/>
      <c r="D43" s="289"/>
      <c r="E43" s="294">
        <f>OFERTA!I66+OFERTA!J66+OFERTA!K66</f>
        <v>0</v>
      </c>
      <c r="F43" s="294"/>
      <c r="G43" s="294"/>
      <c r="I43" s="282"/>
      <c r="J43" s="282"/>
      <c r="K43" s="282"/>
      <c r="L43" s="282"/>
      <c r="M43" s="282"/>
      <c r="N43" s="282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</row>
    <row r="44" spans="2:47" ht="12" customHeight="1" x14ac:dyDescent="0.35">
      <c r="B44" s="289" t="s">
        <v>852</v>
      </c>
      <c r="C44" s="289"/>
      <c r="D44" s="289"/>
      <c r="E44" s="294"/>
      <c r="F44" s="294"/>
      <c r="G44" s="294"/>
      <c r="I44" s="282"/>
      <c r="J44" s="282"/>
      <c r="K44" s="282"/>
      <c r="L44" s="282"/>
      <c r="M44" s="282"/>
      <c r="N44" s="282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</row>
    <row r="45" spans="2:47" ht="12" customHeight="1" x14ac:dyDescent="0.35">
      <c r="B45" s="289" t="s">
        <v>780</v>
      </c>
      <c r="C45" s="289"/>
      <c r="D45" s="289"/>
      <c r="E45" s="294"/>
      <c r="F45" s="294"/>
      <c r="G45" s="294"/>
      <c r="I45" s="282"/>
      <c r="J45" s="282"/>
      <c r="K45" s="282"/>
      <c r="L45" s="282"/>
      <c r="M45" s="282"/>
      <c r="N45" s="282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</row>
    <row r="46" spans="2:47" ht="12" customHeight="1" x14ac:dyDescent="0.35">
      <c r="B46" s="289" t="s">
        <v>780</v>
      </c>
      <c r="C46" s="289"/>
      <c r="D46" s="289"/>
      <c r="E46" s="294"/>
      <c r="F46" s="294"/>
      <c r="G46" s="294"/>
      <c r="I46" s="282"/>
      <c r="J46" s="282"/>
      <c r="K46" s="282"/>
      <c r="L46" s="282"/>
      <c r="M46" s="282"/>
      <c r="N46" s="282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</row>
    <row r="47" spans="2:47" ht="12" customHeight="1" x14ac:dyDescent="0.35">
      <c r="B47" s="314" t="s">
        <v>848</v>
      </c>
      <c r="C47" s="314"/>
      <c r="D47" s="314"/>
      <c r="E47" s="312">
        <f>SUM(E39:G46)</f>
        <v>0</v>
      </c>
      <c r="F47" s="313"/>
      <c r="G47" s="313"/>
      <c r="I47" s="282"/>
      <c r="J47" s="282"/>
      <c r="K47" s="282"/>
      <c r="L47" s="282"/>
      <c r="M47" s="282"/>
      <c r="N47" s="282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</row>
    <row r="48" spans="2:47" ht="5.15" customHeight="1" x14ac:dyDescent="0.35"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</row>
    <row r="49" spans="2:47" ht="15" customHeight="1" x14ac:dyDescent="0.35">
      <c r="B49" s="279" t="s">
        <v>811</v>
      </c>
      <c r="C49" s="279"/>
      <c r="D49" s="279"/>
      <c r="E49" s="279"/>
      <c r="F49" s="279"/>
      <c r="G49" s="279"/>
      <c r="H49" s="2"/>
      <c r="I49" s="288" t="s">
        <v>782</v>
      </c>
      <c r="J49" s="288"/>
      <c r="K49" s="288"/>
      <c r="L49" s="288"/>
      <c r="M49" s="288"/>
      <c r="N49" s="288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</row>
    <row r="50" spans="2:47" ht="12" customHeight="1" x14ac:dyDescent="0.35">
      <c r="B50" s="283" t="s">
        <v>812</v>
      </c>
      <c r="C50" s="283"/>
      <c r="D50" s="283"/>
      <c r="E50" s="280"/>
      <c r="F50" s="280"/>
      <c r="G50" s="280"/>
      <c r="H50" s="69"/>
      <c r="I50" s="282"/>
      <c r="J50" s="282"/>
      <c r="K50" s="282"/>
      <c r="L50" s="282"/>
      <c r="M50" s="282"/>
      <c r="N50" s="282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</row>
    <row r="51" spans="2:47" ht="12" customHeight="1" x14ac:dyDescent="0.35">
      <c r="B51" s="283" t="s">
        <v>780</v>
      </c>
      <c r="C51" s="283"/>
      <c r="D51" s="283"/>
      <c r="E51" s="280"/>
      <c r="F51" s="280"/>
      <c r="G51" s="280"/>
      <c r="H51" s="69"/>
      <c r="I51" s="282"/>
      <c r="J51" s="282"/>
      <c r="K51" s="282"/>
      <c r="L51" s="282"/>
      <c r="M51" s="282"/>
      <c r="N51" s="282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</row>
    <row r="52" spans="2:47" ht="12" customHeight="1" x14ac:dyDescent="0.35">
      <c r="B52" s="279" t="s">
        <v>781</v>
      </c>
      <c r="C52" s="279"/>
      <c r="D52" s="279"/>
      <c r="E52" s="280">
        <f>SUM(E50:G51)</f>
        <v>0</v>
      </c>
      <c r="F52" s="281"/>
      <c r="G52" s="281"/>
      <c r="I52" s="284"/>
      <c r="J52" s="284"/>
      <c r="K52" s="284"/>
      <c r="L52" s="284"/>
      <c r="M52" s="284"/>
      <c r="N52" s="28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</row>
    <row r="53" spans="2:47" x14ac:dyDescent="0.35">
      <c r="B53" s="288" t="s">
        <v>786</v>
      </c>
      <c r="C53" s="288"/>
      <c r="D53" s="288"/>
      <c r="E53" s="288"/>
      <c r="F53" s="288"/>
      <c r="G53" s="288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</row>
    <row r="54" spans="2:47" x14ac:dyDescent="0.35">
      <c r="E54" s="70" t="s">
        <v>787</v>
      </c>
      <c r="F54" s="321" t="s">
        <v>788</v>
      </c>
      <c r="G54" s="321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</row>
    <row r="55" spans="2:47" ht="12" customHeight="1" x14ac:dyDescent="0.35">
      <c r="B55" s="289" t="s">
        <v>853</v>
      </c>
      <c r="C55" s="289"/>
      <c r="D55" s="289"/>
      <c r="E55" s="113"/>
      <c r="F55" s="310"/>
      <c r="G55" s="310"/>
      <c r="I55" s="282"/>
      <c r="J55" s="282"/>
      <c r="K55" s="282"/>
      <c r="L55" s="282"/>
      <c r="M55" s="282"/>
      <c r="N55" s="282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</row>
    <row r="56" spans="2:47" ht="12" customHeight="1" x14ac:dyDescent="0.35">
      <c r="B56" s="289" t="s">
        <v>854</v>
      </c>
      <c r="C56" s="289"/>
      <c r="D56" s="289"/>
      <c r="E56" s="113">
        <f>OFERTA!I61</f>
        <v>0</v>
      </c>
      <c r="F56" s="310">
        <v>61.64</v>
      </c>
      <c r="G56" s="310"/>
      <c r="I56" s="282" t="s">
        <v>856</v>
      </c>
      <c r="J56" s="282"/>
      <c r="K56" s="282"/>
      <c r="L56" s="282"/>
      <c r="M56" s="282"/>
      <c r="N56" s="282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</row>
    <row r="57" spans="2:47" ht="12" customHeight="1" x14ac:dyDescent="0.35">
      <c r="B57" s="289" t="s">
        <v>855</v>
      </c>
      <c r="C57" s="289"/>
      <c r="D57" s="289"/>
      <c r="E57" s="113">
        <f>OFERTA!I62</f>
        <v>5</v>
      </c>
      <c r="F57" s="310">
        <v>61.64</v>
      </c>
      <c r="G57" s="310"/>
      <c r="I57" s="282" t="s">
        <v>857</v>
      </c>
      <c r="J57" s="282"/>
      <c r="K57" s="282"/>
      <c r="L57" s="282"/>
      <c r="M57" s="282"/>
      <c r="N57" s="282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</row>
    <row r="58" spans="2:47" ht="12" customHeight="1" x14ac:dyDescent="0.35">
      <c r="B58" s="289" t="s">
        <v>780</v>
      </c>
      <c r="C58" s="289"/>
      <c r="D58" s="289"/>
      <c r="E58" s="113"/>
      <c r="F58" s="310"/>
      <c r="G58" s="310"/>
      <c r="I58" s="282"/>
      <c r="J58" s="282"/>
      <c r="K58" s="282"/>
      <c r="L58" s="282"/>
      <c r="M58" s="282"/>
      <c r="N58" s="282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</row>
    <row r="59" spans="2:47" ht="12" customHeight="1" x14ac:dyDescent="0.35">
      <c r="B59" s="289" t="s">
        <v>780</v>
      </c>
      <c r="C59" s="289"/>
      <c r="D59" s="289"/>
      <c r="E59" s="113"/>
      <c r="F59" s="310"/>
      <c r="G59" s="310"/>
      <c r="I59" s="282"/>
      <c r="J59" s="282"/>
      <c r="K59" s="282"/>
      <c r="L59" s="282"/>
      <c r="M59" s="282"/>
      <c r="N59" s="282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</row>
    <row r="60" spans="2:47" ht="12" customHeight="1" x14ac:dyDescent="0.35">
      <c r="B60" s="289" t="s">
        <v>780</v>
      </c>
      <c r="C60" s="289"/>
      <c r="D60" s="289"/>
      <c r="E60" s="113"/>
      <c r="F60" s="310"/>
      <c r="G60" s="310"/>
      <c r="I60" s="282"/>
      <c r="J60" s="282"/>
      <c r="K60" s="282"/>
      <c r="L60" s="282"/>
      <c r="M60" s="282"/>
      <c r="N60" s="282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</row>
    <row r="61" spans="2:47" ht="12" customHeight="1" x14ac:dyDescent="0.35">
      <c r="B61" s="289" t="s">
        <v>780</v>
      </c>
      <c r="C61" s="289"/>
      <c r="D61" s="289"/>
      <c r="E61" s="113"/>
      <c r="F61" s="310"/>
      <c r="G61" s="310"/>
      <c r="I61" s="282"/>
      <c r="J61" s="282"/>
      <c r="K61" s="282"/>
      <c r="L61" s="282"/>
      <c r="M61" s="282"/>
      <c r="N61" s="282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</row>
    <row r="62" spans="2:47" ht="12" customHeight="1" x14ac:dyDescent="0.35">
      <c r="B62" s="289" t="s">
        <v>780</v>
      </c>
      <c r="C62" s="289"/>
      <c r="D62" s="289"/>
      <c r="E62" s="113"/>
      <c r="F62" s="310"/>
      <c r="G62" s="310"/>
      <c r="I62" s="282"/>
      <c r="J62" s="282"/>
      <c r="K62" s="282"/>
      <c r="L62" s="282"/>
      <c r="M62" s="282"/>
      <c r="N62" s="282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</row>
    <row r="63" spans="2:47" ht="12" customHeight="1" x14ac:dyDescent="0.35">
      <c r="B63" s="289" t="s">
        <v>780</v>
      </c>
      <c r="C63" s="289"/>
      <c r="D63" s="289"/>
      <c r="E63" s="113"/>
      <c r="F63" s="310"/>
      <c r="G63" s="310"/>
      <c r="I63" s="282"/>
      <c r="J63" s="282"/>
      <c r="K63" s="282"/>
      <c r="L63" s="282"/>
      <c r="M63" s="282"/>
      <c r="N63" s="282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</row>
    <row r="64" spans="2:47" ht="12" customHeight="1" x14ac:dyDescent="0.35">
      <c r="B64" s="289" t="s">
        <v>780</v>
      </c>
      <c r="C64" s="289"/>
      <c r="D64" s="289"/>
      <c r="E64" s="113"/>
      <c r="F64" s="310"/>
      <c r="G64" s="310"/>
      <c r="I64" s="282"/>
      <c r="J64" s="282"/>
      <c r="K64" s="282"/>
      <c r="L64" s="282"/>
      <c r="M64" s="282"/>
      <c r="N64" s="282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</row>
    <row r="65" spans="1:51" x14ac:dyDescent="0.35">
      <c r="B65" s="314" t="s">
        <v>848</v>
      </c>
      <c r="C65" s="314"/>
      <c r="D65" s="314"/>
      <c r="E65" s="71">
        <f>SUM(E55:E64)</f>
        <v>5</v>
      </c>
      <c r="F65" s="325">
        <f>+E55*F55+E56*F56+E57*F57+E58*F58+E59*F59+E60*F60+E61*F61+E62*F62+E63*F63+E64*F64</f>
        <v>308.2</v>
      </c>
      <c r="G65" s="326"/>
      <c r="I65" s="327"/>
      <c r="J65" s="282"/>
      <c r="K65" s="282"/>
      <c r="L65" s="282"/>
      <c r="M65" s="282"/>
      <c r="N65" s="282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</row>
    <row r="66" spans="1:51" x14ac:dyDescent="0.3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</row>
    <row r="67" spans="1:51" x14ac:dyDescent="0.3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</row>
    <row r="68" spans="1:51" x14ac:dyDescent="0.3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</row>
    <row r="69" spans="1:51" x14ac:dyDescent="0.3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</row>
    <row r="70" spans="1:51" x14ac:dyDescent="0.3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spans="1:51" x14ac:dyDescent="0.3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</row>
    <row r="72" spans="1:51" x14ac:dyDescent="0.3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</row>
    <row r="73" spans="1:51" x14ac:dyDescent="0.3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</row>
    <row r="74" spans="1:51" x14ac:dyDescent="0.3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</row>
    <row r="75" spans="1:51" x14ac:dyDescent="0.3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</row>
    <row r="76" spans="1:51" x14ac:dyDescent="0.3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</row>
    <row r="77" spans="1:51" x14ac:dyDescent="0.3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</row>
    <row r="78" spans="1:51" x14ac:dyDescent="0.3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</row>
    <row r="79" spans="1:51" x14ac:dyDescent="0.3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</row>
    <row r="80" spans="1:51" x14ac:dyDescent="0.3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</row>
    <row r="81" spans="1:51" x14ac:dyDescent="0.3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</row>
    <row r="82" spans="1:51" x14ac:dyDescent="0.3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</row>
    <row r="83" spans="1:51" x14ac:dyDescent="0.3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</row>
    <row r="84" spans="1:51" x14ac:dyDescent="0.3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</row>
    <row r="85" spans="1:51" x14ac:dyDescent="0.3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</row>
    <row r="86" spans="1:51" x14ac:dyDescent="0.35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</row>
    <row r="87" spans="1:51" x14ac:dyDescent="0.35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</row>
    <row r="88" spans="1:51" x14ac:dyDescent="0.35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</row>
    <row r="89" spans="1:51" x14ac:dyDescent="0.35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</row>
    <row r="90" spans="1:51" x14ac:dyDescent="0.35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</row>
    <row r="91" spans="1:51" x14ac:dyDescent="0.35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</row>
    <row r="92" spans="1:51" x14ac:dyDescent="0.35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</row>
    <row r="93" spans="1:51" x14ac:dyDescent="0.35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</row>
    <row r="94" spans="1:51" x14ac:dyDescent="0.35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</row>
    <row r="95" spans="1:51" x14ac:dyDescent="0.3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</row>
    <row r="96" spans="1:51" x14ac:dyDescent="0.35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</row>
    <row r="97" spans="1:51" x14ac:dyDescent="0.35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</row>
    <row r="98" spans="1:51" x14ac:dyDescent="0.35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</row>
    <row r="99" spans="1:51" x14ac:dyDescent="0.35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</row>
    <row r="100" spans="1:51" x14ac:dyDescent="0.35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</row>
    <row r="101" spans="1:51" x14ac:dyDescent="0.35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</row>
    <row r="102" spans="1:51" x14ac:dyDescent="0.35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</row>
    <row r="103" spans="1:51" x14ac:dyDescent="0.35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</row>
    <row r="104" spans="1:51" x14ac:dyDescent="0.35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</row>
    <row r="105" spans="1:51" x14ac:dyDescent="0.3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</row>
    <row r="106" spans="1:51" x14ac:dyDescent="0.35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</row>
    <row r="107" spans="1:51" x14ac:dyDescent="0.35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</row>
    <row r="108" spans="1:51" x14ac:dyDescent="0.35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</row>
    <row r="109" spans="1:51" x14ac:dyDescent="0.35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</row>
    <row r="110" spans="1:51" x14ac:dyDescent="0.35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</row>
    <row r="111" spans="1:51" x14ac:dyDescent="0.35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</row>
    <row r="112" spans="1:51" x14ac:dyDescent="0.35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</row>
    <row r="113" spans="1:51" x14ac:dyDescent="0.35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</row>
    <row r="114" spans="1:51" x14ac:dyDescent="0.35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</row>
    <row r="115" spans="1:51" x14ac:dyDescent="0.3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</row>
    <row r="116" spans="1:51" x14ac:dyDescent="0.35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</row>
    <row r="117" spans="1:51" x14ac:dyDescent="0.35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spans="1:51" x14ac:dyDescent="0.35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</row>
    <row r="119" spans="1:51" x14ac:dyDescent="0.35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</row>
    <row r="120" spans="1:51" x14ac:dyDescent="0.3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</row>
    <row r="121" spans="1:51" x14ac:dyDescent="0.35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</row>
    <row r="122" spans="1:51" x14ac:dyDescent="0.35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</row>
    <row r="123" spans="1:51" x14ac:dyDescent="0.35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</row>
    <row r="124" spans="1:51" x14ac:dyDescent="0.35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</row>
    <row r="125" spans="1:51" x14ac:dyDescent="0.3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</row>
    <row r="126" spans="1:51" x14ac:dyDescent="0.35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</row>
    <row r="127" spans="1:51" x14ac:dyDescent="0.35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spans="1:51" x14ac:dyDescent="0.35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</row>
    <row r="129" spans="1:51" x14ac:dyDescent="0.35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</row>
    <row r="130" spans="1:51" x14ac:dyDescent="0.35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</row>
    <row r="131" spans="1:51" x14ac:dyDescent="0.35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</row>
    <row r="132" spans="1:51" x14ac:dyDescent="0.35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</row>
    <row r="133" spans="1:51" x14ac:dyDescent="0.35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x14ac:dyDescent="0.35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</row>
    <row r="135" spans="1:51" x14ac:dyDescent="0.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</row>
    <row r="136" spans="1:51" x14ac:dyDescent="0.35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</row>
    <row r="137" spans="1:51" x14ac:dyDescent="0.35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</row>
    <row r="138" spans="1:51" x14ac:dyDescent="0.35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</row>
    <row r="139" spans="1:51" x14ac:dyDescent="0.35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</row>
    <row r="140" spans="1:51" x14ac:dyDescent="0.35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</row>
    <row r="141" spans="1:51" x14ac:dyDescent="0.35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</row>
    <row r="142" spans="1:51" x14ac:dyDescent="0.35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</row>
    <row r="143" spans="1:51" x14ac:dyDescent="0.35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</row>
    <row r="144" spans="1:51" x14ac:dyDescent="0.35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</row>
    <row r="145" spans="1:51" x14ac:dyDescent="0.3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</row>
    <row r="146" spans="1:51" x14ac:dyDescent="0.35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</row>
    <row r="147" spans="1:51" x14ac:dyDescent="0.35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</row>
    <row r="148" spans="1:51" x14ac:dyDescent="0.35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</row>
    <row r="149" spans="1:51" x14ac:dyDescent="0.35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spans="1:51" x14ac:dyDescent="0.35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</row>
    <row r="151" spans="1:51" x14ac:dyDescent="0.35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</row>
    <row r="152" spans="1:51" x14ac:dyDescent="0.35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</row>
    <row r="153" spans="1:51" x14ac:dyDescent="0.35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</row>
    <row r="154" spans="1:51" x14ac:dyDescent="0.35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</row>
    <row r="155" spans="1:51" x14ac:dyDescent="0.3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</row>
    <row r="156" spans="1:51" x14ac:dyDescent="0.35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</row>
    <row r="157" spans="1:51" x14ac:dyDescent="0.35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</row>
    <row r="158" spans="1:51" x14ac:dyDescent="0.35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</row>
    <row r="159" spans="1:51" x14ac:dyDescent="0.35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</row>
    <row r="160" spans="1:51" x14ac:dyDescent="0.35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</row>
    <row r="161" spans="1:51" x14ac:dyDescent="0.35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</row>
    <row r="162" spans="1:51" x14ac:dyDescent="0.35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</row>
    <row r="163" spans="1:51" x14ac:dyDescent="0.35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</row>
    <row r="164" spans="1:51" x14ac:dyDescent="0.35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</row>
    <row r="165" spans="1:51" x14ac:dyDescent="0.3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spans="1:51" x14ac:dyDescent="0.35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</row>
    <row r="167" spans="1:51" x14ac:dyDescent="0.35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</row>
    <row r="168" spans="1:51" x14ac:dyDescent="0.35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</row>
    <row r="169" spans="1:51" x14ac:dyDescent="0.35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</row>
    <row r="170" spans="1:51" x14ac:dyDescent="0.35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</row>
    <row r="171" spans="1:51" x14ac:dyDescent="0.35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</row>
    <row r="172" spans="1:51" x14ac:dyDescent="0.35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</row>
    <row r="173" spans="1:51" x14ac:dyDescent="0.35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</row>
    <row r="174" spans="1:51" x14ac:dyDescent="0.35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</row>
    <row r="175" spans="1:51" x14ac:dyDescent="0.3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</row>
    <row r="176" spans="1:51" x14ac:dyDescent="0.35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</row>
    <row r="177" spans="1:51" x14ac:dyDescent="0.35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</row>
    <row r="178" spans="1:51" x14ac:dyDescent="0.35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</row>
    <row r="179" spans="1:51" x14ac:dyDescent="0.35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</row>
    <row r="180" spans="1:51" x14ac:dyDescent="0.35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</row>
    <row r="181" spans="1:51" x14ac:dyDescent="0.3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</row>
    <row r="182" spans="1:51" x14ac:dyDescent="0.3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</row>
    <row r="183" spans="1:51" x14ac:dyDescent="0.35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</row>
    <row r="184" spans="1:51" x14ac:dyDescent="0.35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</row>
    <row r="185" spans="1:51" x14ac:dyDescent="0.3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</row>
    <row r="186" spans="1:51" x14ac:dyDescent="0.35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</row>
    <row r="187" spans="1:51" x14ac:dyDescent="0.35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</row>
    <row r="188" spans="1:51" x14ac:dyDescent="0.35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</row>
    <row r="189" spans="1:51" x14ac:dyDescent="0.35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</row>
    <row r="190" spans="1:51" x14ac:dyDescent="0.35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</row>
    <row r="191" spans="1:51" x14ac:dyDescent="0.35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</row>
    <row r="192" spans="1:51" x14ac:dyDescent="0.35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</row>
    <row r="193" spans="1:51" x14ac:dyDescent="0.35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</row>
    <row r="194" spans="1:51" x14ac:dyDescent="0.35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</row>
    <row r="195" spans="1:51" x14ac:dyDescent="0.3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</row>
    <row r="196" spans="1:51" x14ac:dyDescent="0.35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</row>
    <row r="197" spans="1:51" x14ac:dyDescent="0.35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</row>
    <row r="198" spans="1:51" x14ac:dyDescent="0.35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</row>
    <row r="199" spans="1:51" x14ac:dyDescent="0.35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</row>
    <row r="200" spans="1:51" x14ac:dyDescent="0.35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</row>
    <row r="201" spans="1:51" x14ac:dyDescent="0.35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</row>
    <row r="202" spans="1:51" x14ac:dyDescent="0.35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</row>
    <row r="203" spans="1:51" x14ac:dyDescent="0.3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</row>
    <row r="204" spans="1:51" x14ac:dyDescent="0.35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</row>
    <row r="205" spans="1:51" x14ac:dyDescent="0.3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</row>
    <row r="206" spans="1:51" x14ac:dyDescent="0.35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</row>
    <row r="207" spans="1:51" x14ac:dyDescent="0.35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</row>
    <row r="208" spans="1:51" x14ac:dyDescent="0.35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</row>
    <row r="209" spans="1:51" x14ac:dyDescent="0.35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</row>
    <row r="210" spans="1:51" x14ac:dyDescent="0.35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</row>
    <row r="211" spans="1:51" x14ac:dyDescent="0.35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</row>
    <row r="212" spans="1:51" x14ac:dyDescent="0.35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</row>
    <row r="213" spans="1:51" x14ac:dyDescent="0.35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</row>
    <row r="214" spans="1:51" x14ac:dyDescent="0.35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</row>
    <row r="215" spans="1:51" x14ac:dyDescent="0.3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</row>
    <row r="216" spans="1:51" x14ac:dyDescent="0.35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</row>
    <row r="217" spans="1:51" x14ac:dyDescent="0.3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</row>
  </sheetData>
  <protectedRanges>
    <protectedRange password="C03F" sqref="F21 F13 F15:F16" name="Range1_1"/>
  </protectedRanges>
  <mergeCells count="163">
    <mergeCell ref="E14:H14"/>
    <mergeCell ref="B65:D65"/>
    <mergeCell ref="F65:G65"/>
    <mergeCell ref="I65:N65"/>
    <mergeCell ref="E13:H13"/>
    <mergeCell ref="E15:H15"/>
    <mergeCell ref="E16:H16"/>
    <mergeCell ref="J20:L20"/>
    <mergeCell ref="J19:L19"/>
    <mergeCell ref="J18:L18"/>
    <mergeCell ref="J17:L17"/>
    <mergeCell ref="J16:L16"/>
    <mergeCell ref="J15:L15"/>
    <mergeCell ref="J14:L14"/>
    <mergeCell ref="B63:D63"/>
    <mergeCell ref="F63:G63"/>
    <mergeCell ref="B64:D64"/>
    <mergeCell ref="F64:G64"/>
    <mergeCell ref="I56:N56"/>
    <mergeCell ref="B21:D21"/>
    <mergeCell ref="I45:N45"/>
    <mergeCell ref="I46:N46"/>
    <mergeCell ref="I47:N47"/>
    <mergeCell ref="B53:G53"/>
    <mergeCell ref="B47:D47"/>
    <mergeCell ref="E47:G47"/>
    <mergeCell ref="I40:N40"/>
    <mergeCell ref="I41:N41"/>
    <mergeCell ref="I42:N42"/>
    <mergeCell ref="I43:N43"/>
    <mergeCell ref="I44:N44"/>
    <mergeCell ref="B45:D45"/>
    <mergeCell ref="E45:G45"/>
    <mergeCell ref="B46:D46"/>
    <mergeCell ref="E46:G46"/>
    <mergeCell ref="B43:D43"/>
    <mergeCell ref="E43:G43"/>
    <mergeCell ref="B44:D44"/>
    <mergeCell ref="E44:G44"/>
    <mergeCell ref="B40:D40"/>
    <mergeCell ref="E40:G40"/>
    <mergeCell ref="B41:D41"/>
    <mergeCell ref="E41:G41"/>
    <mergeCell ref="B42:D42"/>
    <mergeCell ref="E42:G42"/>
    <mergeCell ref="I62:N62"/>
    <mergeCell ref="I63:N63"/>
    <mergeCell ref="I64:N64"/>
    <mergeCell ref="B60:D60"/>
    <mergeCell ref="F60:G60"/>
    <mergeCell ref="B61:D61"/>
    <mergeCell ref="F61:G61"/>
    <mergeCell ref="B62:D62"/>
    <mergeCell ref="F62:G62"/>
    <mergeCell ref="I60:N60"/>
    <mergeCell ref="I61:N61"/>
    <mergeCell ref="B57:D57"/>
    <mergeCell ref="F57:G57"/>
    <mergeCell ref="B58:D58"/>
    <mergeCell ref="F58:G58"/>
    <mergeCell ref="B59:D59"/>
    <mergeCell ref="F59:G59"/>
    <mergeCell ref="I55:N55"/>
    <mergeCell ref="B55:D55"/>
    <mergeCell ref="F54:G54"/>
    <mergeCell ref="F55:G55"/>
    <mergeCell ref="B56:D56"/>
    <mergeCell ref="F56:G56"/>
    <mergeCell ref="I57:N57"/>
    <mergeCell ref="I58:N58"/>
    <mergeCell ref="I59:N59"/>
    <mergeCell ref="I30:N30"/>
    <mergeCell ref="I31:N31"/>
    <mergeCell ref="I32:N32"/>
    <mergeCell ref="I33:N33"/>
    <mergeCell ref="I34:N34"/>
    <mergeCell ref="I35:N35"/>
    <mergeCell ref="B25:D25"/>
    <mergeCell ref="B26:D26"/>
    <mergeCell ref="B32:D32"/>
    <mergeCell ref="B33:D33"/>
    <mergeCell ref="B34:D34"/>
    <mergeCell ref="B35:D35"/>
    <mergeCell ref="E28:G28"/>
    <mergeCell ref="E29:G29"/>
    <mergeCell ref="E30:G30"/>
    <mergeCell ref="E31:G31"/>
    <mergeCell ref="E32:G32"/>
    <mergeCell ref="E33:G33"/>
    <mergeCell ref="E34:G34"/>
    <mergeCell ref="E35:G35"/>
    <mergeCell ref="I38:N38"/>
    <mergeCell ref="B39:D39"/>
    <mergeCell ref="E39:G39"/>
    <mergeCell ref="I39:N39"/>
    <mergeCell ref="E36:G36"/>
    <mergeCell ref="B36:D36"/>
    <mergeCell ref="F1:M1"/>
    <mergeCell ref="E10:K10"/>
    <mergeCell ref="L10:N10"/>
    <mergeCell ref="B11:D11"/>
    <mergeCell ref="E11:K11"/>
    <mergeCell ref="L11:N11"/>
    <mergeCell ref="J8:N8"/>
    <mergeCell ref="B7:D7"/>
    <mergeCell ref="B2:N5"/>
    <mergeCell ref="B8:D8"/>
    <mergeCell ref="B9:D9"/>
    <mergeCell ref="E9:N9"/>
    <mergeCell ref="B10:D10"/>
    <mergeCell ref="E7:H7"/>
    <mergeCell ref="J7:N7"/>
    <mergeCell ref="E8:H8"/>
    <mergeCell ref="I28:N28"/>
    <mergeCell ref="I29:N29"/>
    <mergeCell ref="B49:G49"/>
    <mergeCell ref="I49:N49"/>
    <mergeCell ref="B50:D50"/>
    <mergeCell ref="E50:G50"/>
    <mergeCell ref="I50:N50"/>
    <mergeCell ref="M16:N16"/>
    <mergeCell ref="M17:N17"/>
    <mergeCell ref="M18:N18"/>
    <mergeCell ref="J13:N13"/>
    <mergeCell ref="I24:N24"/>
    <mergeCell ref="E27:G27"/>
    <mergeCell ref="I25:N25"/>
    <mergeCell ref="I26:N26"/>
    <mergeCell ref="I27:N27"/>
    <mergeCell ref="E21:H21"/>
    <mergeCell ref="M19:N19"/>
    <mergeCell ref="M20:N20"/>
    <mergeCell ref="M21:N21"/>
    <mergeCell ref="B18:F18"/>
    <mergeCell ref="B19:F19"/>
    <mergeCell ref="G18:H18"/>
    <mergeCell ref="G19:H19"/>
    <mergeCell ref="I23:N23"/>
    <mergeCell ref="B38:G38"/>
    <mergeCell ref="B52:D52"/>
    <mergeCell ref="E52:G52"/>
    <mergeCell ref="I51:N51"/>
    <mergeCell ref="B51:D51"/>
    <mergeCell ref="E51:G51"/>
    <mergeCell ref="I52:N52"/>
    <mergeCell ref="J21:L21"/>
    <mergeCell ref="B13:D13"/>
    <mergeCell ref="B14:D14"/>
    <mergeCell ref="B15:D15"/>
    <mergeCell ref="B16:D16"/>
    <mergeCell ref="B23:G23"/>
    <mergeCell ref="B24:D24"/>
    <mergeCell ref="M14:N14"/>
    <mergeCell ref="M15:N15"/>
    <mergeCell ref="E24:G24"/>
    <mergeCell ref="E25:G25"/>
    <mergeCell ref="E26:G26"/>
    <mergeCell ref="B27:D27"/>
    <mergeCell ref="B28:D28"/>
    <mergeCell ref="B29:D29"/>
    <mergeCell ref="B30:D30"/>
    <mergeCell ref="B31:D31"/>
    <mergeCell ref="I36:N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AD71016-1B72-4815-A999-F700A9459541}">
          <x14:formula1>
            <xm:f>'Material Cost'!$G$2:$G$17</xm:f>
          </x14:formula1>
          <xm:sqref>E10</xm:sqref>
        </x14:dataValidation>
        <x14:dataValidation type="list" allowBlank="1" showInputMessage="1" showErrorMessage="1" xr:uid="{53367B88-207B-4AC8-8D45-7A1623B5C2B1}">
          <x14:formula1>
            <xm:f>Technicians!$A$2:$A$16</xm:f>
          </x14:formula1>
          <xm:sqref>E21:H21</xm:sqref>
        </x14:dataValidation>
        <x14:dataValidation type="list" allowBlank="1" showInputMessage="1" showErrorMessage="1" xr:uid="{5EF45556-7EA9-4F5D-9F38-4568BEDC0B5A}">
          <x14:formula1>
            <xm:f>'Cost Center'!$A$2:$A$5</xm:f>
          </x14:formula1>
          <xm:sqref>E11:K11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9E77-C624-483E-B403-5D6C9B200483}">
  <sheetPr>
    <pageSetUpPr fitToPage="1"/>
  </sheetPr>
  <dimension ref="A1:P94"/>
  <sheetViews>
    <sheetView tabSelected="1" topLeftCell="A8" zoomScaleNormal="100" workbookViewId="0">
      <selection activeCell="F54" sqref="F54"/>
    </sheetView>
  </sheetViews>
  <sheetFormatPr baseColWidth="10" defaultRowHeight="14.5" x14ac:dyDescent="0.35"/>
  <cols>
    <col min="1" max="1" width="60.36328125" customWidth="1"/>
    <col min="2" max="3" width="12.6328125" customWidth="1"/>
    <col min="5" max="5" width="11.453125"/>
    <col min="7" max="7" width="15.36328125" bestFit="1" customWidth="1"/>
    <col min="8" max="8" width="18.08984375" customWidth="1"/>
    <col min="9" max="9" width="79.6328125" bestFit="1" customWidth="1"/>
    <col min="10" max="10" width="15.6328125" customWidth="1"/>
    <col min="258" max="258" width="55" customWidth="1"/>
    <col min="260" max="260" width="12.6328125" customWidth="1"/>
    <col min="264" max="264" width="79.6328125" bestFit="1" customWidth="1"/>
    <col min="514" max="514" width="55" customWidth="1"/>
    <col min="516" max="516" width="12.6328125" customWidth="1"/>
    <col min="520" max="520" width="79.6328125" bestFit="1" customWidth="1"/>
    <col min="770" max="770" width="55" customWidth="1"/>
    <col min="772" max="772" width="12.6328125" customWidth="1"/>
    <col min="776" max="776" width="79.6328125" bestFit="1" customWidth="1"/>
    <col min="1026" max="1026" width="55" customWidth="1"/>
    <col min="1028" max="1028" width="12.6328125" customWidth="1"/>
    <col min="1032" max="1032" width="79.6328125" bestFit="1" customWidth="1"/>
    <col min="1282" max="1282" width="55" customWidth="1"/>
    <col min="1284" max="1284" width="12.6328125" customWidth="1"/>
    <col min="1288" max="1288" width="79.6328125" bestFit="1" customWidth="1"/>
    <col min="1538" max="1538" width="55" customWidth="1"/>
    <col min="1540" max="1540" width="12.6328125" customWidth="1"/>
    <col min="1544" max="1544" width="79.6328125" bestFit="1" customWidth="1"/>
    <col min="1794" max="1794" width="55" customWidth="1"/>
    <col min="1796" max="1796" width="12.6328125" customWidth="1"/>
    <col min="1800" max="1800" width="79.6328125" bestFit="1" customWidth="1"/>
    <col min="2050" max="2050" width="55" customWidth="1"/>
    <col min="2052" max="2052" width="12.6328125" customWidth="1"/>
    <col min="2056" max="2056" width="79.6328125" bestFit="1" customWidth="1"/>
    <col min="2306" max="2306" width="55" customWidth="1"/>
    <col min="2308" max="2308" width="12.6328125" customWidth="1"/>
    <col min="2312" max="2312" width="79.6328125" bestFit="1" customWidth="1"/>
    <col min="2562" max="2562" width="55" customWidth="1"/>
    <col min="2564" max="2564" width="12.6328125" customWidth="1"/>
    <col min="2568" max="2568" width="79.6328125" bestFit="1" customWidth="1"/>
    <col min="2818" max="2818" width="55" customWidth="1"/>
    <col min="2820" max="2820" width="12.6328125" customWidth="1"/>
    <col min="2824" max="2824" width="79.6328125" bestFit="1" customWidth="1"/>
    <col min="3074" max="3074" width="55" customWidth="1"/>
    <col min="3076" max="3076" width="12.6328125" customWidth="1"/>
    <col min="3080" max="3080" width="79.6328125" bestFit="1" customWidth="1"/>
    <col min="3330" max="3330" width="55" customWidth="1"/>
    <col min="3332" max="3332" width="12.6328125" customWidth="1"/>
    <col min="3336" max="3336" width="79.6328125" bestFit="1" customWidth="1"/>
    <col min="3586" max="3586" width="55" customWidth="1"/>
    <col min="3588" max="3588" width="12.6328125" customWidth="1"/>
    <col min="3592" max="3592" width="79.6328125" bestFit="1" customWidth="1"/>
    <col min="3842" max="3842" width="55" customWidth="1"/>
    <col min="3844" max="3844" width="12.6328125" customWidth="1"/>
    <col min="3848" max="3848" width="79.6328125" bestFit="1" customWidth="1"/>
    <col min="4098" max="4098" width="55" customWidth="1"/>
    <col min="4100" max="4100" width="12.6328125" customWidth="1"/>
    <col min="4104" max="4104" width="79.6328125" bestFit="1" customWidth="1"/>
    <col min="4354" max="4354" width="55" customWidth="1"/>
    <col min="4356" max="4356" width="12.6328125" customWidth="1"/>
    <col min="4360" max="4360" width="79.6328125" bestFit="1" customWidth="1"/>
    <col min="4610" max="4610" width="55" customWidth="1"/>
    <col min="4612" max="4612" width="12.6328125" customWidth="1"/>
    <col min="4616" max="4616" width="79.6328125" bestFit="1" customWidth="1"/>
    <col min="4866" max="4866" width="55" customWidth="1"/>
    <col min="4868" max="4868" width="12.6328125" customWidth="1"/>
    <col min="4872" max="4872" width="79.6328125" bestFit="1" customWidth="1"/>
    <col min="5122" max="5122" width="55" customWidth="1"/>
    <col min="5124" max="5124" width="12.6328125" customWidth="1"/>
    <col min="5128" max="5128" width="79.6328125" bestFit="1" customWidth="1"/>
    <col min="5378" max="5378" width="55" customWidth="1"/>
    <col min="5380" max="5380" width="12.6328125" customWidth="1"/>
    <col min="5384" max="5384" width="79.6328125" bestFit="1" customWidth="1"/>
    <col min="5634" max="5634" width="55" customWidth="1"/>
    <col min="5636" max="5636" width="12.6328125" customWidth="1"/>
    <col min="5640" max="5640" width="79.6328125" bestFit="1" customWidth="1"/>
    <col min="5890" max="5890" width="55" customWidth="1"/>
    <col min="5892" max="5892" width="12.6328125" customWidth="1"/>
    <col min="5896" max="5896" width="79.6328125" bestFit="1" customWidth="1"/>
    <col min="6146" max="6146" width="55" customWidth="1"/>
    <col min="6148" max="6148" width="12.6328125" customWidth="1"/>
    <col min="6152" max="6152" width="79.6328125" bestFit="1" customWidth="1"/>
    <col min="6402" max="6402" width="55" customWidth="1"/>
    <col min="6404" max="6404" width="12.6328125" customWidth="1"/>
    <col min="6408" max="6408" width="79.6328125" bestFit="1" customWidth="1"/>
    <col min="6658" max="6658" width="55" customWidth="1"/>
    <col min="6660" max="6660" width="12.6328125" customWidth="1"/>
    <col min="6664" max="6664" width="79.6328125" bestFit="1" customWidth="1"/>
    <col min="6914" max="6914" width="55" customWidth="1"/>
    <col min="6916" max="6916" width="12.6328125" customWidth="1"/>
    <col min="6920" max="6920" width="79.6328125" bestFit="1" customWidth="1"/>
    <col min="7170" max="7170" width="55" customWidth="1"/>
    <col min="7172" max="7172" width="12.6328125" customWidth="1"/>
    <col min="7176" max="7176" width="79.6328125" bestFit="1" customWidth="1"/>
    <col min="7426" max="7426" width="55" customWidth="1"/>
    <col min="7428" max="7428" width="12.6328125" customWidth="1"/>
    <col min="7432" max="7432" width="79.6328125" bestFit="1" customWidth="1"/>
    <col min="7682" max="7682" width="55" customWidth="1"/>
    <col min="7684" max="7684" width="12.6328125" customWidth="1"/>
    <col min="7688" max="7688" width="79.6328125" bestFit="1" customWidth="1"/>
    <col min="7938" max="7938" width="55" customWidth="1"/>
    <col min="7940" max="7940" width="12.6328125" customWidth="1"/>
    <col min="7944" max="7944" width="79.6328125" bestFit="1" customWidth="1"/>
    <col min="8194" max="8194" width="55" customWidth="1"/>
    <col min="8196" max="8196" width="12.6328125" customWidth="1"/>
    <col min="8200" max="8200" width="79.6328125" bestFit="1" customWidth="1"/>
    <col min="8450" max="8450" width="55" customWidth="1"/>
    <col min="8452" max="8452" width="12.6328125" customWidth="1"/>
    <col min="8456" max="8456" width="79.6328125" bestFit="1" customWidth="1"/>
    <col min="8706" max="8706" width="55" customWidth="1"/>
    <col min="8708" max="8708" width="12.6328125" customWidth="1"/>
    <col min="8712" max="8712" width="79.6328125" bestFit="1" customWidth="1"/>
    <col min="8962" max="8962" width="55" customWidth="1"/>
    <col min="8964" max="8964" width="12.6328125" customWidth="1"/>
    <col min="8968" max="8968" width="79.6328125" bestFit="1" customWidth="1"/>
    <col min="9218" max="9218" width="55" customWidth="1"/>
    <col min="9220" max="9220" width="12.6328125" customWidth="1"/>
    <col min="9224" max="9224" width="79.6328125" bestFit="1" customWidth="1"/>
    <col min="9474" max="9474" width="55" customWidth="1"/>
    <col min="9476" max="9476" width="12.6328125" customWidth="1"/>
    <col min="9480" max="9480" width="79.6328125" bestFit="1" customWidth="1"/>
    <col min="9730" max="9730" width="55" customWidth="1"/>
    <col min="9732" max="9732" width="12.6328125" customWidth="1"/>
    <col min="9736" max="9736" width="79.6328125" bestFit="1" customWidth="1"/>
    <col min="9986" max="9986" width="55" customWidth="1"/>
    <col min="9988" max="9988" width="12.6328125" customWidth="1"/>
    <col min="9992" max="9992" width="79.6328125" bestFit="1" customWidth="1"/>
    <col min="10242" max="10242" width="55" customWidth="1"/>
    <col min="10244" max="10244" width="12.6328125" customWidth="1"/>
    <col min="10248" max="10248" width="79.6328125" bestFit="1" customWidth="1"/>
    <col min="10498" max="10498" width="55" customWidth="1"/>
    <col min="10500" max="10500" width="12.6328125" customWidth="1"/>
    <col min="10504" max="10504" width="79.6328125" bestFit="1" customWidth="1"/>
    <col min="10754" max="10754" width="55" customWidth="1"/>
    <col min="10756" max="10756" width="12.6328125" customWidth="1"/>
    <col min="10760" max="10760" width="79.6328125" bestFit="1" customWidth="1"/>
    <col min="11010" max="11010" width="55" customWidth="1"/>
    <col min="11012" max="11012" width="12.6328125" customWidth="1"/>
    <col min="11016" max="11016" width="79.6328125" bestFit="1" customWidth="1"/>
    <col min="11266" max="11266" width="55" customWidth="1"/>
    <col min="11268" max="11268" width="12.6328125" customWidth="1"/>
    <col min="11272" max="11272" width="79.6328125" bestFit="1" customWidth="1"/>
    <col min="11522" max="11522" width="55" customWidth="1"/>
    <col min="11524" max="11524" width="12.6328125" customWidth="1"/>
    <col min="11528" max="11528" width="79.6328125" bestFit="1" customWidth="1"/>
    <col min="11778" max="11778" width="55" customWidth="1"/>
    <col min="11780" max="11780" width="12.6328125" customWidth="1"/>
    <col min="11784" max="11784" width="79.6328125" bestFit="1" customWidth="1"/>
    <col min="12034" max="12034" width="55" customWidth="1"/>
    <col min="12036" max="12036" width="12.6328125" customWidth="1"/>
    <col min="12040" max="12040" width="79.6328125" bestFit="1" customWidth="1"/>
    <col min="12290" max="12290" width="55" customWidth="1"/>
    <col min="12292" max="12292" width="12.6328125" customWidth="1"/>
    <col min="12296" max="12296" width="79.6328125" bestFit="1" customWidth="1"/>
    <col min="12546" max="12546" width="55" customWidth="1"/>
    <col min="12548" max="12548" width="12.6328125" customWidth="1"/>
    <col min="12552" max="12552" width="79.6328125" bestFit="1" customWidth="1"/>
    <col min="12802" max="12802" width="55" customWidth="1"/>
    <col min="12804" max="12804" width="12.6328125" customWidth="1"/>
    <col min="12808" max="12808" width="79.6328125" bestFit="1" customWidth="1"/>
    <col min="13058" max="13058" width="55" customWidth="1"/>
    <col min="13060" max="13060" width="12.6328125" customWidth="1"/>
    <col min="13064" max="13064" width="79.6328125" bestFit="1" customWidth="1"/>
    <col min="13314" max="13314" width="55" customWidth="1"/>
    <col min="13316" max="13316" width="12.6328125" customWidth="1"/>
    <col min="13320" max="13320" width="79.6328125" bestFit="1" customWidth="1"/>
    <col min="13570" max="13570" width="55" customWidth="1"/>
    <col min="13572" max="13572" width="12.6328125" customWidth="1"/>
    <col min="13576" max="13576" width="79.6328125" bestFit="1" customWidth="1"/>
    <col min="13826" max="13826" width="55" customWidth="1"/>
    <col min="13828" max="13828" width="12.6328125" customWidth="1"/>
    <col min="13832" max="13832" width="79.6328125" bestFit="1" customWidth="1"/>
    <col min="14082" max="14082" width="55" customWidth="1"/>
    <col min="14084" max="14084" width="12.6328125" customWidth="1"/>
    <col min="14088" max="14088" width="79.6328125" bestFit="1" customWidth="1"/>
    <col min="14338" max="14338" width="55" customWidth="1"/>
    <col min="14340" max="14340" width="12.6328125" customWidth="1"/>
    <col min="14344" max="14344" width="79.6328125" bestFit="1" customWidth="1"/>
    <col min="14594" max="14594" width="55" customWidth="1"/>
    <col min="14596" max="14596" width="12.6328125" customWidth="1"/>
    <col min="14600" max="14600" width="79.6328125" bestFit="1" customWidth="1"/>
    <col min="14850" max="14850" width="55" customWidth="1"/>
    <col min="14852" max="14852" width="12.6328125" customWidth="1"/>
    <col min="14856" max="14856" width="79.6328125" bestFit="1" customWidth="1"/>
    <col min="15106" max="15106" width="55" customWidth="1"/>
    <col min="15108" max="15108" width="12.6328125" customWidth="1"/>
    <col min="15112" max="15112" width="79.6328125" bestFit="1" customWidth="1"/>
    <col min="15362" max="15362" width="55" customWidth="1"/>
    <col min="15364" max="15364" width="12.6328125" customWidth="1"/>
    <col min="15368" max="15368" width="79.6328125" bestFit="1" customWidth="1"/>
    <col min="15618" max="15618" width="55" customWidth="1"/>
    <col min="15620" max="15620" width="12.6328125" customWidth="1"/>
    <col min="15624" max="15624" width="79.6328125" bestFit="1" customWidth="1"/>
    <col min="15874" max="15874" width="55" customWidth="1"/>
    <col min="15876" max="15876" width="12.6328125" customWidth="1"/>
    <col min="15880" max="15880" width="79.6328125" bestFit="1" customWidth="1"/>
    <col min="16130" max="16130" width="55" customWidth="1"/>
    <col min="16132" max="16132" width="12.6328125" customWidth="1"/>
    <col min="16136" max="16136" width="79.6328125" bestFit="1" customWidth="1"/>
  </cols>
  <sheetData>
    <row r="1" spans="1:13" ht="24" customHeight="1" thickBot="1" x14ac:dyDescent="0.4">
      <c r="A1" s="343" t="s">
        <v>863</v>
      </c>
      <c r="B1" s="343"/>
      <c r="C1" s="343"/>
      <c r="D1" s="343"/>
      <c r="E1" s="92"/>
    </row>
    <row r="2" spans="1:13" ht="26.25" customHeight="1" thickBot="1" x14ac:dyDescent="0.4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44" t="s">
        <v>819</v>
      </c>
      <c r="H2" s="345"/>
      <c r="I2" s="100"/>
    </row>
    <row r="3" spans="1:13" ht="15.75" customHeight="1" thickBot="1" x14ac:dyDescent="0.4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4">
      <c r="A4" s="117" t="s">
        <v>815</v>
      </c>
      <c r="B4" s="270"/>
      <c r="C4" s="121">
        <v>400</v>
      </c>
      <c r="D4" s="121">
        <f>(B4*C4)</f>
        <v>0</v>
      </c>
      <c r="E4" s="91"/>
      <c r="F4" s="77"/>
      <c r="G4" s="145">
        <v>375</v>
      </c>
      <c r="H4" s="145">
        <f>B4*G4</f>
        <v>0</v>
      </c>
      <c r="I4" s="142" t="s">
        <v>813</v>
      </c>
    </row>
    <row r="5" spans="1:13" ht="12.75" customHeight="1" thickBot="1" x14ac:dyDescent="0.4">
      <c r="A5" s="118" t="s">
        <v>865</v>
      </c>
      <c r="B5" s="270"/>
      <c r="C5" s="121">
        <v>51</v>
      </c>
      <c r="D5" s="121">
        <f t="shared" ref="D5:D17" si="0">+B5*C5</f>
        <v>0</v>
      </c>
      <c r="E5" s="91"/>
      <c r="F5" s="77"/>
      <c r="G5" s="146">
        <v>50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4">
      <c r="A6" s="117" t="s">
        <v>952</v>
      </c>
      <c r="B6" s="270"/>
      <c r="C6" s="121">
        <v>43.41</v>
      </c>
      <c r="D6" s="121">
        <f t="shared" si="0"/>
        <v>0</v>
      </c>
      <c r="E6" s="263"/>
      <c r="F6" s="77"/>
      <c r="G6" s="147">
        <v>38.409999999999997</v>
      </c>
      <c r="H6" s="145">
        <f>G6*B6</f>
        <v>0</v>
      </c>
      <c r="I6" s="143" t="s">
        <v>866</v>
      </c>
      <c r="J6" s="86"/>
    </row>
    <row r="7" spans="1:13" ht="14.25" customHeight="1" thickBot="1" x14ac:dyDescent="0.4">
      <c r="A7" s="117" t="s">
        <v>973</v>
      </c>
      <c r="B7" s="271"/>
      <c r="C7" s="121">
        <v>51</v>
      </c>
      <c r="D7" s="121">
        <f t="shared" si="0"/>
        <v>0</v>
      </c>
      <c r="E7" s="261"/>
      <c r="F7" s="77"/>
      <c r="G7" s="147">
        <v>46.09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4">
      <c r="A8" s="117" t="s">
        <v>969</v>
      </c>
      <c r="B8" s="270"/>
      <c r="C8" s="121">
        <v>78</v>
      </c>
      <c r="D8" s="121">
        <f t="shared" si="0"/>
        <v>0</v>
      </c>
      <c r="E8" s="261"/>
      <c r="F8" s="77"/>
      <c r="G8" s="147">
        <v>69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4">
      <c r="A9" s="117" t="s">
        <v>974</v>
      </c>
      <c r="B9" s="270"/>
      <c r="C9" s="121">
        <v>78</v>
      </c>
      <c r="D9" s="121">
        <f t="shared" si="0"/>
        <v>0</v>
      </c>
      <c r="E9" s="91"/>
      <c r="G9" s="147">
        <v>69</v>
      </c>
      <c r="H9" s="145">
        <f t="shared" si="1"/>
        <v>0</v>
      </c>
      <c r="I9" s="142" t="s">
        <v>869</v>
      </c>
      <c r="J9" s="86"/>
    </row>
    <row r="10" spans="1:13" ht="12.75" customHeight="1" thickBot="1" x14ac:dyDescent="0.4">
      <c r="A10" s="117" t="s">
        <v>870</v>
      </c>
      <c r="B10" s="270"/>
      <c r="C10" s="121">
        <f>C6*1.2</f>
        <v>52.091999999999992</v>
      </c>
      <c r="D10" s="121">
        <f t="shared" si="0"/>
        <v>0</v>
      </c>
      <c r="E10" s="91"/>
      <c r="G10" s="147">
        <f t="shared" ref="G10:G11" si="2">G6*1.2</f>
        <v>46.091999999999992</v>
      </c>
      <c r="H10" s="145">
        <f t="shared" si="1"/>
        <v>0</v>
      </c>
      <c r="I10" s="142" t="s">
        <v>870</v>
      </c>
      <c r="M10" s="87"/>
    </row>
    <row r="11" spans="1:13" ht="12.75" customHeight="1" thickBot="1" x14ac:dyDescent="0.4">
      <c r="A11" s="117" t="s">
        <v>874</v>
      </c>
      <c r="B11" s="270"/>
      <c r="C11" s="121">
        <f t="shared" ref="C11" si="3">C7*1.2</f>
        <v>61.199999999999996</v>
      </c>
      <c r="D11" s="121">
        <f t="shared" si="0"/>
        <v>0</v>
      </c>
      <c r="E11" s="91"/>
      <c r="G11" s="147">
        <f t="shared" si="2"/>
        <v>55.308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4">
      <c r="A12" s="117" t="s">
        <v>980</v>
      </c>
      <c r="B12" s="270"/>
      <c r="C12" s="121">
        <v>18</v>
      </c>
      <c r="D12" s="121">
        <f t="shared" si="0"/>
        <v>0</v>
      </c>
      <c r="E12" s="91"/>
      <c r="G12" s="147">
        <v>12</v>
      </c>
      <c r="H12" s="145">
        <f t="shared" si="1"/>
        <v>0</v>
      </c>
      <c r="I12" s="142" t="s">
        <v>955</v>
      </c>
      <c r="J12" s="86"/>
    </row>
    <row r="13" spans="1:13" ht="12.75" customHeight="1" thickBot="1" x14ac:dyDescent="0.4">
      <c r="A13" s="117" t="s">
        <v>988</v>
      </c>
      <c r="B13" s="271"/>
      <c r="C13" s="121">
        <v>140</v>
      </c>
      <c r="D13" s="121">
        <f t="shared" si="0"/>
        <v>0</v>
      </c>
      <c r="E13" s="91"/>
      <c r="G13" s="147">
        <v>120</v>
      </c>
      <c r="H13" s="145">
        <f t="shared" si="1"/>
        <v>0</v>
      </c>
      <c r="I13" s="142" t="s">
        <v>989</v>
      </c>
      <c r="J13" s="86"/>
    </row>
    <row r="14" spans="1:13" ht="12.75" customHeight="1" thickBot="1" x14ac:dyDescent="0.4">
      <c r="A14" s="117" t="s">
        <v>877</v>
      </c>
      <c r="B14" s="271"/>
      <c r="C14" s="121">
        <v>23</v>
      </c>
      <c r="D14" s="121">
        <f t="shared" si="0"/>
        <v>0</v>
      </c>
      <c r="E14" s="91"/>
      <c r="F14" s="89"/>
      <c r="G14" s="147">
        <v>20.25</v>
      </c>
      <c r="H14" s="145">
        <f t="shared" si="1"/>
        <v>0</v>
      </c>
      <c r="I14" s="142" t="s">
        <v>877</v>
      </c>
      <c r="J14" s="86"/>
    </row>
    <row r="15" spans="1:13" ht="12.75" customHeight="1" thickBot="1" x14ac:dyDescent="0.4">
      <c r="A15" s="117" t="s">
        <v>958</v>
      </c>
      <c r="B15" s="271"/>
      <c r="C15" s="121">
        <v>23</v>
      </c>
      <c r="D15" s="121">
        <f>+B15*C15</f>
        <v>0</v>
      </c>
      <c r="E15" s="91"/>
      <c r="F15" s="87"/>
      <c r="G15" s="147">
        <v>21.25</v>
      </c>
      <c r="H15" s="145">
        <f>G15*B15</f>
        <v>0</v>
      </c>
      <c r="I15" s="142" t="s">
        <v>953</v>
      </c>
    </row>
    <row r="16" spans="1:13" ht="12.75" customHeight="1" thickBot="1" x14ac:dyDescent="0.4">
      <c r="A16" s="117" t="s">
        <v>976</v>
      </c>
      <c r="B16" s="270"/>
      <c r="C16" s="121">
        <v>12</v>
      </c>
      <c r="D16" s="121">
        <f t="shared" si="0"/>
        <v>0</v>
      </c>
      <c r="E16" s="91"/>
      <c r="F16" s="90"/>
      <c r="G16" s="146">
        <v>9</v>
      </c>
      <c r="H16" s="145">
        <f>G16*B16</f>
        <v>0</v>
      </c>
      <c r="I16" s="142" t="s">
        <v>956</v>
      </c>
    </row>
    <row r="17" spans="1:13" ht="13.75" customHeight="1" thickBot="1" x14ac:dyDescent="0.4">
      <c r="A17" s="117" t="s">
        <v>981</v>
      </c>
      <c r="B17" s="272"/>
      <c r="C17" s="124">
        <v>200</v>
      </c>
      <c r="D17" s="124">
        <f t="shared" si="0"/>
        <v>0</v>
      </c>
      <c r="E17" s="91"/>
      <c r="G17" s="153">
        <v>300</v>
      </c>
      <c r="H17" s="145">
        <f t="shared" si="1"/>
        <v>0</v>
      </c>
      <c r="I17" s="142" t="s">
        <v>957</v>
      </c>
    </row>
    <row r="18" spans="1:13" ht="12.75" customHeight="1" thickTop="1" thickBot="1" x14ac:dyDescent="0.4">
      <c r="A18" s="125"/>
      <c r="B18" s="349" t="s">
        <v>798</v>
      </c>
      <c r="C18" s="350"/>
      <c r="D18" s="136">
        <f>SUM(D4:D17)</f>
        <v>0</v>
      </c>
      <c r="E18" s="95"/>
      <c r="F18" s="87"/>
      <c r="G18" s="154">
        <v>100</v>
      </c>
      <c r="H18" s="154">
        <f>B20*G18</f>
        <v>100</v>
      </c>
      <c r="I18" s="142" t="s">
        <v>882</v>
      </c>
    </row>
    <row r="19" spans="1:13" ht="12.75" customHeight="1" thickBot="1" x14ac:dyDescent="0.4">
      <c r="A19" s="116" t="s">
        <v>881</v>
      </c>
      <c r="B19" s="252"/>
      <c r="C19" s="119"/>
      <c r="D19" s="119"/>
      <c r="E19" s="94"/>
      <c r="G19" s="148">
        <v>8.9</v>
      </c>
      <c r="H19" s="146">
        <f>(B21*7)*G19</f>
        <v>186.9</v>
      </c>
      <c r="I19" s="142" t="s">
        <v>943</v>
      </c>
      <c r="L19" s="74"/>
      <c r="M19" s="88"/>
    </row>
    <row r="20" spans="1:13" ht="12.75" customHeight="1" thickBot="1" x14ac:dyDescent="0.4">
      <c r="A20" s="117" t="s">
        <v>975</v>
      </c>
      <c r="B20" s="395">
        <v>1</v>
      </c>
      <c r="C20" s="121">
        <v>110</v>
      </c>
      <c r="D20" s="126">
        <f>(B20*C20)</f>
        <v>110</v>
      </c>
      <c r="E20" s="96"/>
      <c r="G20" s="147">
        <v>18</v>
      </c>
      <c r="H20" s="146">
        <f t="shared" ref="H20" si="4">G20*B22</f>
        <v>18</v>
      </c>
      <c r="I20" s="152" t="s">
        <v>982</v>
      </c>
    </row>
    <row r="21" spans="1:13" ht="15" thickBot="1" x14ac:dyDescent="0.4">
      <c r="A21" s="118" t="s">
        <v>983</v>
      </c>
      <c r="B21" s="395">
        <v>3</v>
      </c>
      <c r="C21" s="121">
        <v>120</v>
      </c>
      <c r="D21" s="126">
        <f t="shared" ref="D21:D23" si="5">(B21*C21)</f>
        <v>360</v>
      </c>
      <c r="E21" s="96"/>
      <c r="G21" s="147">
        <v>21</v>
      </c>
      <c r="H21" s="146">
        <f>B23*G21</f>
        <v>21</v>
      </c>
      <c r="I21" s="152" t="s">
        <v>950</v>
      </c>
    </row>
    <row r="22" spans="1:13" ht="13.5" customHeight="1" thickBot="1" x14ac:dyDescent="0.4">
      <c r="A22" s="117" t="s">
        <v>994</v>
      </c>
      <c r="B22" s="395">
        <v>1</v>
      </c>
      <c r="C22" s="121">
        <v>45</v>
      </c>
      <c r="D22" s="126">
        <f t="shared" si="5"/>
        <v>45</v>
      </c>
      <c r="E22" s="91"/>
      <c r="G22" s="146">
        <v>35</v>
      </c>
      <c r="H22" s="236"/>
      <c r="I22" s="142" t="s">
        <v>946</v>
      </c>
    </row>
    <row r="23" spans="1:13" ht="12.75" customHeight="1" thickBot="1" x14ac:dyDescent="0.4">
      <c r="A23" s="117" t="s">
        <v>954</v>
      </c>
      <c r="B23" s="252">
        <v>1</v>
      </c>
      <c r="C23" s="121">
        <v>23</v>
      </c>
      <c r="D23" s="126">
        <f t="shared" si="5"/>
        <v>23</v>
      </c>
      <c r="E23" s="91"/>
      <c r="G23" s="150">
        <v>100</v>
      </c>
      <c r="H23" s="151"/>
      <c r="I23" s="142" t="s">
        <v>924</v>
      </c>
    </row>
    <row r="24" spans="1:13" ht="12.75" customHeight="1" thickBot="1" x14ac:dyDescent="0.4">
      <c r="A24" s="125"/>
      <c r="B24" s="351" t="s">
        <v>799</v>
      </c>
      <c r="C24" s="352"/>
      <c r="D24" s="136">
        <f>SUM(D20:D23)</f>
        <v>538</v>
      </c>
      <c r="E24" s="97"/>
      <c r="G24" s="74"/>
      <c r="H24" s="213">
        <f>SUM(H4:H23)</f>
        <v>325.89999999999998</v>
      </c>
    </row>
    <row r="25" spans="1:13" ht="12.75" customHeight="1" thickBot="1" x14ac:dyDescent="0.4">
      <c r="A25" s="116" t="s">
        <v>886</v>
      </c>
      <c r="B25" s="252"/>
      <c r="C25" s="119"/>
      <c r="D25" s="119"/>
      <c r="E25" s="94"/>
    </row>
    <row r="26" spans="1:13" ht="12.75" customHeight="1" thickBot="1" x14ac:dyDescent="0.4">
      <c r="A26" s="117" t="s">
        <v>887</v>
      </c>
      <c r="B26" s="396">
        <v>1</v>
      </c>
      <c r="C26" s="121">
        <v>5.93</v>
      </c>
      <c r="D26" s="121">
        <f t="shared" ref="D26:D37" si="6">+B26*C26</f>
        <v>5.93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4">
      <c r="A27" s="117" t="s">
        <v>888</v>
      </c>
      <c r="B27" s="397"/>
      <c r="C27" s="121">
        <v>26.08</v>
      </c>
      <c r="D27" s="121">
        <f t="shared" si="6"/>
        <v>0</v>
      </c>
      <c r="E27" s="91"/>
      <c r="G27" s="227" t="s">
        <v>942</v>
      </c>
      <c r="H27" s="156"/>
      <c r="I27" s="102"/>
      <c r="J27" s="102"/>
    </row>
    <row r="28" spans="1:13" ht="14.25" customHeight="1" thickBot="1" x14ac:dyDescent="0.4">
      <c r="A28" s="117" t="s">
        <v>889</v>
      </c>
      <c r="B28" s="397"/>
      <c r="C28" s="121">
        <v>27.76</v>
      </c>
      <c r="D28" s="121">
        <f t="shared" si="6"/>
        <v>0</v>
      </c>
      <c r="E28" s="91"/>
      <c r="F28" s="87"/>
      <c r="G28" s="163">
        <v>4.75</v>
      </c>
      <c r="H28" s="208">
        <f t="shared" ref="H28:H39" si="7">G28*B26</f>
        <v>4.75</v>
      </c>
      <c r="I28" s="164" t="s">
        <v>887</v>
      </c>
      <c r="J28" s="102"/>
    </row>
    <row r="29" spans="1:13" ht="15" customHeight="1" thickBot="1" x14ac:dyDescent="0.4">
      <c r="A29" s="128" t="s">
        <v>962</v>
      </c>
      <c r="B29" s="397"/>
      <c r="C29" s="121">
        <v>31.5</v>
      </c>
      <c r="D29" s="121">
        <f t="shared" si="6"/>
        <v>0</v>
      </c>
      <c r="E29" s="91"/>
      <c r="F29" s="90"/>
      <c r="G29" s="163">
        <v>23.34</v>
      </c>
      <c r="H29" s="208">
        <f t="shared" si="7"/>
        <v>0</v>
      </c>
      <c r="I29" s="164" t="s">
        <v>888</v>
      </c>
      <c r="J29" s="102"/>
    </row>
    <row r="30" spans="1:13" ht="12.75" customHeight="1" thickBot="1" x14ac:dyDescent="0.4">
      <c r="A30" s="117" t="s">
        <v>891</v>
      </c>
      <c r="B30" s="397"/>
      <c r="C30" s="121">
        <v>58</v>
      </c>
      <c r="D30" s="121">
        <f t="shared" si="6"/>
        <v>0</v>
      </c>
      <c r="E30" s="91"/>
      <c r="F30" s="90"/>
      <c r="G30" s="237">
        <v>25.9</v>
      </c>
      <c r="H30" s="208">
        <f t="shared" si="7"/>
        <v>0</v>
      </c>
      <c r="I30" s="166" t="s">
        <v>889</v>
      </c>
      <c r="J30" s="102"/>
    </row>
    <row r="31" spans="1:13" ht="12.75" customHeight="1" thickBot="1" x14ac:dyDescent="0.4">
      <c r="A31" s="117" t="s">
        <v>971</v>
      </c>
      <c r="B31" s="397"/>
      <c r="C31" s="121">
        <v>120.45</v>
      </c>
      <c r="D31" s="121">
        <f t="shared" si="6"/>
        <v>0</v>
      </c>
      <c r="E31" s="91"/>
      <c r="F31" s="90"/>
      <c r="G31" s="163">
        <v>30</v>
      </c>
      <c r="H31" s="208">
        <f t="shared" si="7"/>
        <v>0</v>
      </c>
      <c r="I31" s="164" t="s">
        <v>951</v>
      </c>
      <c r="J31" s="158"/>
    </row>
    <row r="32" spans="1:13" ht="15.65" customHeight="1" thickBot="1" x14ac:dyDescent="0.4">
      <c r="A32" s="117" t="s">
        <v>990</v>
      </c>
      <c r="B32" s="397"/>
      <c r="C32" s="121">
        <v>85</v>
      </c>
      <c r="D32" s="121">
        <f t="shared" si="6"/>
        <v>0</v>
      </c>
      <c r="E32" s="91"/>
      <c r="F32" s="86"/>
      <c r="G32" s="163">
        <v>40</v>
      </c>
      <c r="H32" s="208">
        <f t="shared" si="7"/>
        <v>0</v>
      </c>
      <c r="I32" s="164" t="s">
        <v>891</v>
      </c>
      <c r="J32" s="158"/>
    </row>
    <row r="33" spans="1:10" ht="12.75" customHeight="1" thickBot="1" x14ac:dyDescent="0.4">
      <c r="A33" s="117" t="s">
        <v>894</v>
      </c>
      <c r="B33" s="397"/>
      <c r="C33" s="121">
        <v>10.1</v>
      </c>
      <c r="D33" s="121">
        <f t="shared" si="6"/>
        <v>0</v>
      </c>
      <c r="E33" s="91"/>
      <c r="G33" s="163">
        <v>43.75</v>
      </c>
      <c r="H33" s="208">
        <f t="shared" si="7"/>
        <v>0</v>
      </c>
      <c r="I33" s="167" t="s">
        <v>959</v>
      </c>
      <c r="J33" s="159"/>
    </row>
    <row r="34" spans="1:10" ht="15.75" customHeight="1" thickBot="1" x14ac:dyDescent="0.4">
      <c r="A34" s="117" t="s">
        <v>895</v>
      </c>
      <c r="B34" s="396"/>
      <c r="C34" s="121">
        <v>8.1</v>
      </c>
      <c r="D34" s="121">
        <f t="shared" si="6"/>
        <v>0</v>
      </c>
      <c r="E34" s="91"/>
      <c r="F34" s="87"/>
      <c r="G34" s="163">
        <v>46.46</v>
      </c>
      <c r="H34" s="208">
        <f t="shared" si="7"/>
        <v>0</v>
      </c>
      <c r="I34" s="168" t="s">
        <v>947</v>
      </c>
      <c r="J34" s="159"/>
    </row>
    <row r="35" spans="1:10" ht="15.75" customHeight="1" thickBot="1" x14ac:dyDescent="0.4">
      <c r="A35" s="117" t="s">
        <v>964</v>
      </c>
      <c r="B35" s="396">
        <v>1</v>
      </c>
      <c r="C35" s="121">
        <v>35</v>
      </c>
      <c r="D35" s="121">
        <f t="shared" si="6"/>
        <v>35</v>
      </c>
      <c r="E35" s="91"/>
      <c r="F35" s="87"/>
      <c r="G35" s="163">
        <v>9.0500000000000007</v>
      </c>
      <c r="H35" s="208">
        <f t="shared" si="7"/>
        <v>0</v>
      </c>
      <c r="I35" s="168" t="s">
        <v>894</v>
      </c>
      <c r="J35" s="159"/>
    </row>
    <row r="36" spans="1:10" ht="15.75" customHeight="1" thickBot="1" x14ac:dyDescent="0.4">
      <c r="A36" s="117" t="s">
        <v>898</v>
      </c>
      <c r="B36" s="270"/>
      <c r="C36" s="121">
        <v>118</v>
      </c>
      <c r="D36" s="121">
        <f t="shared" si="6"/>
        <v>0</v>
      </c>
      <c r="E36" s="91"/>
      <c r="F36" s="87"/>
      <c r="G36" s="163">
        <v>7.15</v>
      </c>
      <c r="H36" s="208">
        <f t="shared" si="7"/>
        <v>0</v>
      </c>
      <c r="I36" s="168" t="s">
        <v>895</v>
      </c>
      <c r="J36" s="159"/>
    </row>
    <row r="37" spans="1:10" ht="14.25" customHeight="1" thickBot="1" x14ac:dyDescent="0.4">
      <c r="A37" s="117" t="s">
        <v>896</v>
      </c>
      <c r="B37" s="269"/>
      <c r="C37" s="121">
        <v>60.47</v>
      </c>
      <c r="D37" s="121">
        <f t="shared" si="6"/>
        <v>0</v>
      </c>
      <c r="E37" s="260"/>
      <c r="G37" s="163">
        <v>30.25</v>
      </c>
      <c r="H37" s="208">
        <f t="shared" si="7"/>
        <v>30.25</v>
      </c>
      <c r="I37" s="167" t="s">
        <v>960</v>
      </c>
      <c r="J37" s="159"/>
    </row>
    <row r="38" spans="1:10" ht="14.25" customHeight="1" thickBot="1" x14ac:dyDescent="0.4">
      <c r="A38" s="125"/>
      <c r="B38" s="351" t="s">
        <v>800</v>
      </c>
      <c r="C38" s="353"/>
      <c r="D38" s="127">
        <f>SUM(D26:D37)</f>
        <v>40.93</v>
      </c>
      <c r="E38" s="264"/>
      <c r="G38" s="163">
        <v>118.12</v>
      </c>
      <c r="H38" s="208">
        <f t="shared" si="7"/>
        <v>0</v>
      </c>
      <c r="I38" s="169" t="s">
        <v>898</v>
      </c>
      <c r="J38" s="160"/>
    </row>
    <row r="39" spans="1:10" ht="12.75" customHeight="1" thickBot="1" x14ac:dyDescent="0.4">
      <c r="A39" s="116" t="s">
        <v>802</v>
      </c>
      <c r="B39" s="119"/>
      <c r="C39" s="119"/>
      <c r="D39" s="119"/>
      <c r="E39" s="94"/>
      <c r="G39" s="173">
        <v>54.97</v>
      </c>
      <c r="H39" s="208">
        <f t="shared" si="7"/>
        <v>0</v>
      </c>
      <c r="I39" s="174" t="s">
        <v>896</v>
      </c>
      <c r="J39" s="160"/>
    </row>
    <row r="40" spans="1:10" ht="16.25" customHeight="1" thickTop="1" thickBot="1" x14ac:dyDescent="0.4">
      <c r="A40" s="133" t="s">
        <v>965</v>
      </c>
      <c r="B40" s="253"/>
      <c r="C40" s="130">
        <v>450</v>
      </c>
      <c r="D40" s="130">
        <f>B40*C40</f>
        <v>0</v>
      </c>
      <c r="E40" s="261"/>
      <c r="G40" s="175">
        <v>28.61</v>
      </c>
      <c r="H40" s="209">
        <f>G40*B79</f>
        <v>0</v>
      </c>
      <c r="I40" s="176" t="s">
        <v>912</v>
      </c>
      <c r="J40" s="161"/>
    </row>
    <row r="41" spans="1:10" ht="19.75" customHeight="1" thickBot="1" x14ac:dyDescent="0.4">
      <c r="A41" s="133" t="s">
        <v>972</v>
      </c>
      <c r="B41" s="131"/>
      <c r="C41" s="130">
        <v>180</v>
      </c>
      <c r="D41" s="130">
        <f>B41*C41</f>
        <v>0</v>
      </c>
      <c r="E41" s="267"/>
      <c r="G41" s="228">
        <v>27.35</v>
      </c>
      <c r="H41" s="210">
        <f t="shared" ref="H41:H48" si="8">G41*B80</f>
        <v>0</v>
      </c>
      <c r="I41" s="166" t="s">
        <v>913</v>
      </c>
      <c r="J41" s="102"/>
    </row>
    <row r="42" spans="1:10" ht="15" thickBot="1" x14ac:dyDescent="0.4">
      <c r="A42" s="346"/>
      <c r="B42" s="354" t="s">
        <v>967</v>
      </c>
      <c r="C42" s="354"/>
      <c r="D42" s="127">
        <f>SUM(D40:D41)</f>
        <v>0</v>
      </c>
      <c r="E42" s="267"/>
      <c r="G42" s="171">
        <v>34.26</v>
      </c>
      <c r="H42" s="210">
        <f t="shared" si="8"/>
        <v>0</v>
      </c>
      <c r="I42" s="172" t="s">
        <v>914</v>
      </c>
      <c r="J42" s="160"/>
    </row>
    <row r="43" spans="1:10" x14ac:dyDescent="0.35">
      <c r="A43" s="347"/>
      <c r="B43" s="348" t="s">
        <v>803</v>
      </c>
      <c r="C43" s="348"/>
      <c r="D43" s="262">
        <f>D42+D38+D24+D18</f>
        <v>578.92999999999995</v>
      </c>
      <c r="E43" s="229"/>
      <c r="G43" s="171">
        <v>40.99</v>
      </c>
      <c r="H43" s="210">
        <f t="shared" si="8"/>
        <v>0</v>
      </c>
      <c r="I43" s="172" t="s">
        <v>915</v>
      </c>
      <c r="J43" s="160"/>
    </row>
    <row r="44" spans="1:10" ht="15" thickBot="1" x14ac:dyDescent="0.4">
      <c r="A44" s="81"/>
      <c r="B44" s="83"/>
      <c r="C44" s="82"/>
      <c r="D44" s="84"/>
      <c r="E44" s="84"/>
      <c r="G44" s="171">
        <v>53.31</v>
      </c>
      <c r="H44" s="210">
        <f t="shared" si="8"/>
        <v>0</v>
      </c>
      <c r="I44" s="172" t="s">
        <v>916</v>
      </c>
      <c r="J44" s="160"/>
    </row>
    <row r="45" spans="1:10" ht="15" thickTop="1" x14ac:dyDescent="0.35">
      <c r="A45" s="398" t="s">
        <v>906</v>
      </c>
      <c r="B45" s="399"/>
      <c r="C45" s="399"/>
      <c r="D45" s="399"/>
      <c r="E45" s="400"/>
      <c r="F45" s="87"/>
      <c r="G45" s="171">
        <v>98.45</v>
      </c>
      <c r="H45" s="210">
        <f t="shared" si="8"/>
        <v>0</v>
      </c>
      <c r="I45" s="172" t="s">
        <v>917</v>
      </c>
      <c r="J45" s="160"/>
    </row>
    <row r="46" spans="1:10" ht="15" customHeight="1" x14ac:dyDescent="0.35">
      <c r="A46" s="401" t="s">
        <v>871</v>
      </c>
      <c r="B46" s="268" t="s">
        <v>872</v>
      </c>
      <c r="C46" s="268" t="s">
        <v>873</v>
      </c>
      <c r="D46" s="268" t="s">
        <v>808</v>
      </c>
      <c r="E46" s="402"/>
      <c r="G46" s="171">
        <v>43.75</v>
      </c>
      <c r="H46" s="210">
        <f t="shared" si="8"/>
        <v>0</v>
      </c>
      <c r="I46" s="172" t="s">
        <v>918</v>
      </c>
      <c r="J46" s="160"/>
    </row>
    <row r="47" spans="1:10" ht="15" customHeight="1" x14ac:dyDescent="0.35">
      <c r="A47" s="403" t="s">
        <v>901</v>
      </c>
      <c r="B47" s="238"/>
      <c r="C47" s="238"/>
      <c r="D47" s="238"/>
      <c r="E47" s="404"/>
      <c r="G47" s="171">
        <v>46.46</v>
      </c>
      <c r="H47" s="210">
        <f t="shared" si="8"/>
        <v>0</v>
      </c>
      <c r="I47" s="172" t="s">
        <v>919</v>
      </c>
      <c r="J47" s="160"/>
    </row>
    <row r="48" spans="1:10" ht="12" customHeight="1" x14ac:dyDescent="0.35">
      <c r="A48" s="405" t="s">
        <v>882</v>
      </c>
      <c r="B48" s="239"/>
      <c r="C48" s="240">
        <v>100</v>
      </c>
      <c r="D48" s="241">
        <f>(B48*C48)</f>
        <v>0</v>
      </c>
      <c r="E48" s="406"/>
      <c r="G48" s="171">
        <v>120</v>
      </c>
      <c r="H48" s="211">
        <f t="shared" si="8"/>
        <v>0</v>
      </c>
      <c r="I48" s="172" t="s">
        <v>920</v>
      </c>
      <c r="J48" s="162"/>
    </row>
    <row r="49" spans="1:16" x14ac:dyDescent="0.35">
      <c r="A49" s="407" t="s">
        <v>883</v>
      </c>
      <c r="B49" s="239">
        <v>3</v>
      </c>
      <c r="C49" s="240">
        <v>90</v>
      </c>
      <c r="D49" s="241">
        <f t="shared" ref="D49:D50" si="9">(B49*C49)</f>
        <v>270</v>
      </c>
      <c r="E49" s="408"/>
      <c r="G49" s="105"/>
      <c r="H49" s="212">
        <f>SUM(H28:H48)</f>
        <v>35</v>
      </c>
      <c r="I49" s="106" t="s">
        <v>930</v>
      </c>
      <c r="L49" s="340"/>
      <c r="M49" s="341"/>
      <c r="N49" s="341"/>
      <c r="O49" s="341"/>
      <c r="P49" s="342"/>
    </row>
    <row r="50" spans="1:16" ht="15" thickBot="1" x14ac:dyDescent="0.4">
      <c r="A50" s="405" t="s">
        <v>977</v>
      </c>
      <c r="B50" s="239">
        <v>1</v>
      </c>
      <c r="C50" s="240">
        <v>28</v>
      </c>
      <c r="D50" s="241">
        <f t="shared" si="9"/>
        <v>28</v>
      </c>
      <c r="E50" s="408"/>
      <c r="I50" s="106"/>
      <c r="L50" s="340"/>
      <c r="M50" s="341"/>
      <c r="N50" s="341"/>
      <c r="O50" s="196"/>
      <c r="P50" s="197"/>
    </row>
    <row r="51" spans="1:16" ht="15" thickBot="1" x14ac:dyDescent="0.4">
      <c r="A51" s="405" t="s">
        <v>885</v>
      </c>
      <c r="B51" s="242">
        <v>1</v>
      </c>
      <c r="C51" s="240">
        <v>28</v>
      </c>
      <c r="D51" s="240">
        <f t="shared" ref="D51" si="10">+B51*C51</f>
        <v>28</v>
      </c>
      <c r="E51" s="408"/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x14ac:dyDescent="0.35">
      <c r="A52" s="409"/>
      <c r="B52" s="356"/>
      <c r="C52" s="357"/>
      <c r="D52" s="243">
        <f>D48+D49+D50+D51</f>
        <v>326</v>
      </c>
      <c r="E52" s="410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x14ac:dyDescent="0.35">
      <c r="A53" s="403" t="s">
        <v>902</v>
      </c>
      <c r="B53" s="238"/>
      <c r="C53" s="238"/>
      <c r="D53" s="238"/>
      <c r="E53" s="408"/>
      <c r="G53" s="163">
        <v>55</v>
      </c>
      <c r="H53" s="208">
        <f>G53*F53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x14ac:dyDescent="0.35">
      <c r="A54" s="405" t="s">
        <v>903</v>
      </c>
      <c r="B54" s="239"/>
      <c r="C54" s="240">
        <v>400</v>
      </c>
      <c r="D54" s="241">
        <f>(B54*C54)</f>
        <v>0</v>
      </c>
      <c r="E54" s="410"/>
      <c r="F54" s="108"/>
      <c r="G54" s="163">
        <v>120</v>
      </c>
      <c r="H54" s="208">
        <f>G54*F54</f>
        <v>0</v>
      </c>
      <c r="I54" s="164" t="s">
        <v>933</v>
      </c>
      <c r="J54" s="184"/>
      <c r="K54" s="233"/>
      <c r="L54" s="110"/>
      <c r="M54" s="110"/>
      <c r="N54" s="110"/>
      <c r="O54" s="110"/>
      <c r="P54" s="110"/>
    </row>
    <row r="55" spans="1:16" x14ac:dyDescent="0.35">
      <c r="A55" s="405" t="s">
        <v>978</v>
      </c>
      <c r="B55" s="244"/>
      <c r="C55" s="245">
        <v>45</v>
      </c>
      <c r="D55" s="241">
        <f>(B55*C55)</f>
        <v>0</v>
      </c>
      <c r="E55" s="410"/>
      <c r="F55" s="108"/>
      <c r="G55" s="109"/>
      <c r="H55" s="212">
        <f>H53+H54</f>
        <v>0</v>
      </c>
      <c r="I55" s="106" t="s">
        <v>930</v>
      </c>
      <c r="K55" s="90"/>
    </row>
    <row r="56" spans="1:16" x14ac:dyDescent="0.35">
      <c r="A56" s="409"/>
      <c r="B56" s="358" t="s">
        <v>799</v>
      </c>
      <c r="C56" s="359"/>
      <c r="D56" s="246">
        <f>D54+D55</f>
        <v>0</v>
      </c>
      <c r="E56" s="408"/>
      <c r="H56" t="s">
        <v>968</v>
      </c>
      <c r="J56" s="186"/>
      <c r="K56" s="186"/>
      <c r="L56" s="186"/>
      <c r="M56" s="186"/>
      <c r="N56" s="186"/>
      <c r="O56" s="100"/>
      <c r="P56" s="100"/>
    </row>
    <row r="57" spans="1:16" x14ac:dyDescent="0.35">
      <c r="A57" s="403" t="s">
        <v>886</v>
      </c>
      <c r="B57" s="238"/>
      <c r="C57" s="238"/>
      <c r="D57" s="238"/>
      <c r="E57" s="408"/>
      <c r="J57" s="187"/>
      <c r="K57" s="188"/>
      <c r="L57" s="188"/>
      <c r="M57" s="188"/>
      <c r="N57" s="188"/>
      <c r="O57" s="100"/>
      <c r="P57" s="100"/>
    </row>
    <row r="58" spans="1:16" x14ac:dyDescent="0.35">
      <c r="A58" s="405" t="s">
        <v>904</v>
      </c>
      <c r="B58" s="242">
        <v>1</v>
      </c>
      <c r="C58" s="240">
        <v>60</v>
      </c>
      <c r="D58" s="240">
        <f t="shared" ref="D58:D59" si="11">+B58*C58</f>
        <v>60</v>
      </c>
      <c r="E58" s="408"/>
      <c r="G58" s="78"/>
    </row>
    <row r="59" spans="1:16" x14ac:dyDescent="0.35">
      <c r="A59" s="405" t="s">
        <v>948</v>
      </c>
      <c r="B59" s="239"/>
      <c r="C59" s="240">
        <v>120</v>
      </c>
      <c r="D59" s="240">
        <f t="shared" si="11"/>
        <v>0</v>
      </c>
      <c r="E59" s="408"/>
      <c r="G59" s="106"/>
      <c r="J59" s="198" t="s">
        <v>859</v>
      </c>
      <c r="K59" s="199"/>
      <c r="L59" s="199"/>
      <c r="M59" s="196"/>
      <c r="N59" s="180"/>
      <c r="O59" s="189" t="s">
        <v>808</v>
      </c>
    </row>
    <row r="60" spans="1:16" x14ac:dyDescent="0.35">
      <c r="A60" s="409"/>
      <c r="B60" s="358" t="s">
        <v>800</v>
      </c>
      <c r="C60" s="360"/>
      <c r="D60" s="247">
        <f>SUM(D58:D59)</f>
        <v>60</v>
      </c>
      <c r="E60" s="408"/>
      <c r="G60" s="102"/>
      <c r="H60" s="200" t="s">
        <v>821</v>
      </c>
      <c r="I60" s="200" t="s">
        <v>809</v>
      </c>
      <c r="J60" s="200" t="s">
        <v>927</v>
      </c>
      <c r="K60" s="201" t="s">
        <v>928</v>
      </c>
      <c r="L60" s="202" t="s">
        <v>929</v>
      </c>
      <c r="M60" s="180"/>
      <c r="N60" s="190"/>
      <c r="O60" s="191"/>
    </row>
    <row r="61" spans="1:16" x14ac:dyDescent="0.35">
      <c r="A61" s="403" t="s">
        <v>802</v>
      </c>
      <c r="B61" s="238"/>
      <c r="C61" s="238"/>
      <c r="D61" s="238"/>
      <c r="E61" s="408"/>
      <c r="G61" s="177" t="s">
        <v>926</v>
      </c>
      <c r="H61" s="193">
        <f>I61/8</f>
        <v>0</v>
      </c>
      <c r="I61" s="194">
        <f>J61+K61+L61</f>
        <v>0</v>
      </c>
      <c r="J61" s="111"/>
      <c r="K61" s="266"/>
      <c r="M61" s="265"/>
    </row>
    <row r="62" spans="1:16" x14ac:dyDescent="0.35">
      <c r="A62" s="411" t="s">
        <v>979</v>
      </c>
      <c r="B62" s="248">
        <v>1</v>
      </c>
      <c r="C62" s="249">
        <v>309</v>
      </c>
      <c r="D62" s="249">
        <f>B62*C62</f>
        <v>309</v>
      </c>
      <c r="E62" s="408"/>
      <c r="G62" s="192" t="s">
        <v>827</v>
      </c>
      <c r="H62" s="195">
        <f>I62/8</f>
        <v>0.625</v>
      </c>
      <c r="I62" s="194">
        <f>J62+K62+L62</f>
        <v>5</v>
      </c>
      <c r="J62" s="110"/>
      <c r="K62" s="110">
        <v>4</v>
      </c>
      <c r="L62" s="110">
        <v>1</v>
      </c>
      <c r="M62" s="110"/>
      <c r="P62" s="87"/>
    </row>
    <row r="63" spans="1:16" x14ac:dyDescent="0.35">
      <c r="A63" s="411" t="s">
        <v>966</v>
      </c>
      <c r="B63" s="250">
        <v>1</v>
      </c>
      <c r="C63" s="249">
        <v>90</v>
      </c>
      <c r="D63" s="249">
        <f>B63*C63</f>
        <v>90</v>
      </c>
      <c r="E63" s="412"/>
      <c r="G63" s="192" t="s">
        <v>807</v>
      </c>
      <c r="H63" s="194">
        <v>0</v>
      </c>
      <c r="I63" s="194">
        <f>(H63*7)</f>
        <v>0</v>
      </c>
      <c r="J63" s="110"/>
      <c r="K63" s="110"/>
      <c r="L63" s="110"/>
      <c r="M63" s="110"/>
    </row>
    <row r="64" spans="1:16" x14ac:dyDescent="0.35">
      <c r="A64" s="413"/>
      <c r="B64" s="361" t="s">
        <v>801</v>
      </c>
      <c r="C64" s="361"/>
      <c r="D64" s="247">
        <f>D62+D63</f>
        <v>399</v>
      </c>
      <c r="E64" s="414"/>
      <c r="G64" s="107"/>
    </row>
    <row r="65" spans="1:16" ht="15" thickBot="1" x14ac:dyDescent="0.4">
      <c r="A65" s="415"/>
      <c r="B65" s="416" t="s">
        <v>803</v>
      </c>
      <c r="C65" s="416"/>
      <c r="D65" s="417">
        <f>D64+D60+D52+D56</f>
        <v>785</v>
      </c>
      <c r="E65" s="418">
        <v>840</v>
      </c>
      <c r="G65" s="230" t="s">
        <v>945</v>
      </c>
      <c r="H65" s="203" t="s">
        <v>813</v>
      </c>
      <c r="I65" s="203" t="s">
        <v>934</v>
      </c>
      <c r="J65" s="203" t="s">
        <v>935</v>
      </c>
      <c r="K65" s="203" t="s">
        <v>936</v>
      </c>
      <c r="L65" s="203" t="s">
        <v>806</v>
      </c>
      <c r="M65" s="100"/>
    </row>
    <row r="66" spans="1:16" ht="15" customHeight="1" thickTop="1" x14ac:dyDescent="0.35">
      <c r="A66" s="362"/>
      <c r="B66" s="362"/>
      <c r="C66" s="362"/>
      <c r="D66" s="362"/>
      <c r="G66" s="231"/>
      <c r="H66" s="204">
        <f>((G66*4)*0.09*1.8)*H61</f>
        <v>0</v>
      </c>
      <c r="I66" s="207">
        <f>H61*12</f>
        <v>0</v>
      </c>
      <c r="J66" s="207">
        <f>(3.5*0)</f>
        <v>0</v>
      </c>
      <c r="K66" s="207">
        <f>(15*0)</f>
        <v>0</v>
      </c>
      <c r="L66" s="207">
        <v>0</v>
      </c>
      <c r="M66" s="100"/>
      <c r="P66" s="87"/>
    </row>
    <row r="67" spans="1:16" ht="15" thickBot="1" x14ac:dyDescent="0.4">
      <c r="A67" s="363"/>
      <c r="B67" s="363"/>
      <c r="C67" s="363"/>
      <c r="D67" s="363"/>
    </row>
    <row r="68" spans="1:16" ht="15" thickBot="1" x14ac:dyDescent="0.4">
      <c r="A68" s="343" t="s">
        <v>944</v>
      </c>
      <c r="B68" s="343"/>
      <c r="C68" s="343"/>
      <c r="D68" s="343"/>
      <c r="G68" s="205" t="s">
        <v>828</v>
      </c>
      <c r="H68" s="200" t="s">
        <v>818</v>
      </c>
      <c r="I68" s="200" t="s">
        <v>816</v>
      </c>
      <c r="J68" s="200" t="s">
        <v>817</v>
      </c>
      <c r="K68" s="200" t="s">
        <v>822</v>
      </c>
      <c r="L68" s="200" t="s">
        <v>829</v>
      </c>
      <c r="M68" s="206" t="s">
        <v>808</v>
      </c>
    </row>
    <row r="69" spans="1:16" ht="15" thickBot="1" x14ac:dyDescent="0.4">
      <c r="A69" s="115" t="s">
        <v>871</v>
      </c>
      <c r="B69" s="115" t="s">
        <v>872</v>
      </c>
      <c r="C69" s="115" t="s">
        <v>873</v>
      </c>
      <c r="D69" s="115" t="s">
        <v>808</v>
      </c>
      <c r="G69" s="274" t="s">
        <v>938</v>
      </c>
      <c r="H69" s="275">
        <f>D43</f>
        <v>578.92999999999995</v>
      </c>
      <c r="I69" s="275">
        <f>(I61+I62+I63)*61.4</f>
        <v>307</v>
      </c>
      <c r="J69" s="276">
        <f>(I66+J66+K66+L66)</f>
        <v>0</v>
      </c>
      <c r="K69" s="275">
        <f>(H66)</f>
        <v>0</v>
      </c>
      <c r="L69" s="277">
        <f>H49+H24</f>
        <v>360.9</v>
      </c>
      <c r="M69" s="278">
        <f>(I69+J69+K69+L69)</f>
        <v>667.9</v>
      </c>
    </row>
    <row r="70" spans="1:16" ht="15" thickBot="1" x14ac:dyDescent="0.4">
      <c r="A70" s="116"/>
      <c r="B70" s="119"/>
      <c r="C70" s="119"/>
      <c r="D70" s="119"/>
      <c r="G70" s="419" t="s">
        <v>939</v>
      </c>
      <c r="H70" s="273">
        <f>E65</f>
        <v>840</v>
      </c>
      <c r="I70" s="273">
        <f>(I61+I62+I63)*61.4</f>
        <v>307</v>
      </c>
      <c r="J70" s="420">
        <f>I66+J66+K66+L66</f>
        <v>0</v>
      </c>
      <c r="K70" s="421">
        <f>H66</f>
        <v>0</v>
      </c>
      <c r="L70" s="422">
        <f>H24+H49+H55</f>
        <v>360.9</v>
      </c>
      <c r="M70" s="423">
        <f>SUM(I70:L70)</f>
        <v>667.9</v>
      </c>
    </row>
    <row r="71" spans="1:16" ht="19.25" customHeight="1" thickBot="1" x14ac:dyDescent="0.4">
      <c r="A71" s="117" t="s">
        <v>985</v>
      </c>
      <c r="B71" s="120"/>
      <c r="C71" s="121">
        <v>200</v>
      </c>
      <c r="D71" s="121">
        <f>(B71*C71)</f>
        <v>0</v>
      </c>
      <c r="G71" s="424" t="s">
        <v>940</v>
      </c>
      <c r="H71" s="425">
        <f>D94</f>
        <v>0</v>
      </c>
      <c r="I71" s="425">
        <f>(I61+I62+I63)*61.4</f>
        <v>307</v>
      </c>
      <c r="J71" s="425">
        <f>I66+J66+K66+L66</f>
        <v>0</v>
      </c>
      <c r="K71" s="425">
        <f>H66</f>
        <v>0</v>
      </c>
      <c r="L71" s="426">
        <f>H49+H55+H24</f>
        <v>360.9</v>
      </c>
      <c r="M71" s="427">
        <f>SUM(I71:L71)</f>
        <v>667.9</v>
      </c>
    </row>
    <row r="72" spans="1:16" ht="15" thickBot="1" x14ac:dyDescent="0.4">
      <c r="A72" s="118" t="s">
        <v>970</v>
      </c>
      <c r="B72" s="120"/>
      <c r="C72" s="121">
        <v>280</v>
      </c>
      <c r="D72" s="121">
        <f t="shared" ref="D72:D73" si="12">+B72*C72</f>
        <v>0</v>
      </c>
      <c r="G72" s="424" t="s">
        <v>941</v>
      </c>
      <c r="H72" s="425">
        <f>D94+D43</f>
        <v>578.92999999999995</v>
      </c>
      <c r="I72" s="428">
        <f>(I61+I62+I63)*61.4</f>
        <v>307</v>
      </c>
      <c r="J72" s="428">
        <f>I66+J66+K66+L66</f>
        <v>0</v>
      </c>
      <c r="K72" s="429">
        <f>H66</f>
        <v>0</v>
      </c>
      <c r="L72" s="430">
        <f>H55+H49+H24</f>
        <v>360.9</v>
      </c>
      <c r="M72" s="431">
        <f>SUM(I72:L72)</f>
        <v>667.9</v>
      </c>
    </row>
    <row r="73" spans="1:16" ht="15" thickBot="1" x14ac:dyDescent="0.4">
      <c r="A73" s="117" t="s">
        <v>961</v>
      </c>
      <c r="B73" s="120"/>
      <c r="C73" s="121">
        <v>280</v>
      </c>
      <c r="D73" s="121">
        <f t="shared" si="12"/>
        <v>0</v>
      </c>
    </row>
    <row r="74" spans="1:16" ht="15" thickBot="1" x14ac:dyDescent="0.4">
      <c r="A74" s="125"/>
      <c r="B74" s="351" t="s">
        <v>798</v>
      </c>
      <c r="C74" s="352"/>
      <c r="D74" s="136">
        <f>SUM(D71:D73)</f>
        <v>0</v>
      </c>
      <c r="H74" s="87"/>
    </row>
    <row r="75" spans="1:16" ht="15" thickBot="1" x14ac:dyDescent="0.4">
      <c r="A75" s="116" t="s">
        <v>886</v>
      </c>
      <c r="B75" s="119"/>
      <c r="C75" s="119"/>
      <c r="D75" s="119"/>
    </row>
    <row r="76" spans="1:16" ht="15" thickBot="1" x14ac:dyDescent="0.4">
      <c r="A76" s="235" t="s">
        <v>887</v>
      </c>
      <c r="B76" s="119"/>
      <c r="C76" s="234">
        <v>5.93</v>
      </c>
      <c r="D76" s="234">
        <f t="shared" ref="D76:D87" si="13">+B76*C76</f>
        <v>0</v>
      </c>
      <c r="G76" s="255" t="s">
        <v>864</v>
      </c>
      <c r="H76" s="254" t="s">
        <v>949</v>
      </c>
      <c r="I76" s="251"/>
    </row>
    <row r="77" spans="1:16" ht="15" thickBot="1" x14ac:dyDescent="0.4">
      <c r="A77" s="117" t="s">
        <v>888</v>
      </c>
      <c r="B77" s="122"/>
      <c r="C77" s="121">
        <v>26.08</v>
      </c>
      <c r="D77" s="121">
        <f t="shared" si="13"/>
        <v>0</v>
      </c>
      <c r="G77" s="258"/>
      <c r="H77" s="259"/>
    </row>
    <row r="78" spans="1:16" ht="15" thickBot="1" x14ac:dyDescent="0.4">
      <c r="A78" s="117" t="s">
        <v>889</v>
      </c>
      <c r="B78" s="122"/>
      <c r="C78" s="121">
        <v>27.76</v>
      </c>
      <c r="D78" s="121">
        <f t="shared" si="13"/>
        <v>0</v>
      </c>
      <c r="G78" s="258"/>
      <c r="H78" s="259"/>
    </row>
    <row r="79" spans="1:16" ht="15" thickBot="1" x14ac:dyDescent="0.4">
      <c r="A79" s="128" t="s">
        <v>987</v>
      </c>
      <c r="B79" s="122"/>
      <c r="C79" s="121">
        <v>38</v>
      </c>
      <c r="D79" s="121">
        <f t="shared" si="13"/>
        <v>0</v>
      </c>
      <c r="G79" s="258"/>
      <c r="H79" s="259"/>
    </row>
    <row r="80" spans="1:16" ht="15" thickBot="1" x14ac:dyDescent="0.4">
      <c r="A80" s="117" t="s">
        <v>913</v>
      </c>
      <c r="B80" s="122"/>
      <c r="C80" s="121">
        <v>30.88</v>
      </c>
      <c r="D80" s="121">
        <f t="shared" si="13"/>
        <v>0</v>
      </c>
      <c r="G80" s="258"/>
      <c r="H80" s="259"/>
    </row>
    <row r="81" spans="1:8" ht="15" thickBot="1" x14ac:dyDescent="0.4">
      <c r="A81" s="117" t="s">
        <v>914</v>
      </c>
      <c r="B81" s="122"/>
      <c r="C81" s="121">
        <v>36.75</v>
      </c>
      <c r="D81" s="121">
        <f t="shared" si="13"/>
        <v>0</v>
      </c>
      <c r="G81" s="258"/>
      <c r="H81" s="259"/>
    </row>
    <row r="82" spans="1:8" ht="15" thickBot="1" x14ac:dyDescent="0.4">
      <c r="A82" s="117" t="s">
        <v>915</v>
      </c>
      <c r="B82" s="122"/>
      <c r="C82" s="121">
        <v>43.92</v>
      </c>
      <c r="D82" s="121">
        <f t="shared" si="13"/>
        <v>0</v>
      </c>
      <c r="G82" s="258"/>
      <c r="H82" s="259"/>
    </row>
    <row r="83" spans="1:8" ht="15" thickBot="1" x14ac:dyDescent="0.4">
      <c r="A83" s="117" t="s">
        <v>916</v>
      </c>
      <c r="B83" s="122"/>
      <c r="C83" s="121">
        <v>70</v>
      </c>
      <c r="D83" s="121">
        <f t="shared" si="13"/>
        <v>0</v>
      </c>
      <c r="G83" s="258"/>
      <c r="H83" s="259"/>
    </row>
    <row r="84" spans="1:8" ht="15" thickBot="1" x14ac:dyDescent="0.4">
      <c r="A84" s="117" t="s">
        <v>917</v>
      </c>
      <c r="B84" s="120"/>
      <c r="C84" s="121">
        <v>115</v>
      </c>
      <c r="D84" s="121">
        <f t="shared" si="13"/>
        <v>0</v>
      </c>
      <c r="G84" s="256"/>
      <c r="H84" s="257"/>
    </row>
    <row r="85" spans="1:8" ht="15" thickBot="1" x14ac:dyDescent="0.4">
      <c r="A85" s="117" t="s">
        <v>918</v>
      </c>
      <c r="B85" s="120"/>
      <c r="C85" s="121">
        <v>35</v>
      </c>
      <c r="D85" s="121">
        <f t="shared" si="13"/>
        <v>0</v>
      </c>
      <c r="G85" s="256"/>
      <c r="H85" s="257"/>
    </row>
    <row r="86" spans="1:8" ht="15" thickBot="1" x14ac:dyDescent="0.4">
      <c r="A86" s="117" t="s">
        <v>919</v>
      </c>
      <c r="B86" s="120"/>
      <c r="C86" s="121">
        <v>50.78</v>
      </c>
      <c r="D86" s="121">
        <f t="shared" si="13"/>
        <v>0</v>
      </c>
      <c r="G86" s="256"/>
      <c r="H86" s="257"/>
    </row>
    <row r="87" spans="1:8" ht="15" thickBot="1" x14ac:dyDescent="0.4">
      <c r="A87" s="235" t="s">
        <v>963</v>
      </c>
      <c r="B87" s="232"/>
      <c r="C87" s="234">
        <v>60.47</v>
      </c>
      <c r="D87" s="234">
        <f t="shared" si="13"/>
        <v>0</v>
      </c>
      <c r="G87" s="256"/>
      <c r="H87" s="257"/>
    </row>
    <row r="88" spans="1:8" ht="15" thickBot="1" x14ac:dyDescent="0.4">
      <c r="A88" s="125"/>
      <c r="B88" s="351" t="s">
        <v>799</v>
      </c>
      <c r="C88" s="353"/>
      <c r="D88" s="127">
        <f>SUM(D76:D87)</f>
        <v>0</v>
      </c>
      <c r="G88" s="256"/>
      <c r="H88" s="257"/>
    </row>
    <row r="89" spans="1:8" ht="15" thickBot="1" x14ac:dyDescent="0.4">
      <c r="A89" s="116" t="s">
        <v>802</v>
      </c>
      <c r="B89" s="119"/>
      <c r="C89" s="119"/>
      <c r="D89" s="119"/>
      <c r="G89" s="256"/>
      <c r="H89" s="257"/>
    </row>
    <row r="90" spans="1:8" ht="15" thickBot="1" x14ac:dyDescent="0.4">
      <c r="A90" s="133" t="s">
        <v>992</v>
      </c>
      <c r="B90" s="129"/>
      <c r="C90" s="130">
        <v>380</v>
      </c>
      <c r="D90" s="130">
        <f>B90*C90</f>
        <v>0</v>
      </c>
      <c r="G90" s="256"/>
      <c r="H90" s="257"/>
    </row>
    <row r="91" spans="1:8" ht="15" thickBot="1" x14ac:dyDescent="0.4">
      <c r="A91" s="133" t="s">
        <v>984</v>
      </c>
      <c r="B91" s="129"/>
      <c r="C91" s="130">
        <v>90</v>
      </c>
      <c r="D91" s="130">
        <f>B91*C91</f>
        <v>0</v>
      </c>
      <c r="G91" s="256"/>
      <c r="H91" s="257"/>
    </row>
    <row r="92" spans="1:8" ht="15" thickBot="1" x14ac:dyDescent="0.4">
      <c r="A92" s="133" t="s">
        <v>986</v>
      </c>
      <c r="B92" s="131"/>
      <c r="C92" s="130">
        <v>200</v>
      </c>
      <c r="D92" s="130">
        <f>B92*C92</f>
        <v>0</v>
      </c>
      <c r="G92" s="256"/>
      <c r="H92" s="257"/>
    </row>
    <row r="93" spans="1:8" ht="15" thickBot="1" x14ac:dyDescent="0.4">
      <c r="A93" s="346"/>
      <c r="B93" s="354" t="s">
        <v>800</v>
      </c>
      <c r="C93" s="354"/>
      <c r="D93" s="127">
        <f>SUM(D90:D92)</f>
        <v>0</v>
      </c>
    </row>
    <row r="94" spans="1:8" ht="15" thickBot="1" x14ac:dyDescent="0.4">
      <c r="A94" s="346"/>
      <c r="B94" s="355" t="s">
        <v>803</v>
      </c>
      <c r="C94" s="355"/>
      <c r="D94" s="132">
        <f>D93+D88+D74</f>
        <v>0</v>
      </c>
    </row>
  </sheetData>
  <mergeCells count="23">
    <mergeCell ref="L50:N50"/>
    <mergeCell ref="B74:C74"/>
    <mergeCell ref="B88:C88"/>
    <mergeCell ref="A93:A94"/>
    <mergeCell ref="B93:C93"/>
    <mergeCell ref="B94:C94"/>
    <mergeCell ref="B52:C52"/>
    <mergeCell ref="B56:C56"/>
    <mergeCell ref="B60:C60"/>
    <mergeCell ref="B64:C64"/>
    <mergeCell ref="B65:C65"/>
    <mergeCell ref="A68:D68"/>
    <mergeCell ref="A66:D67"/>
    <mergeCell ref="L49:P49"/>
    <mergeCell ref="A1:D1"/>
    <mergeCell ref="G2:H2"/>
    <mergeCell ref="A42:A43"/>
    <mergeCell ref="B43:C43"/>
    <mergeCell ref="B18:C18"/>
    <mergeCell ref="B24:C24"/>
    <mergeCell ref="B38:C38"/>
    <mergeCell ref="B42:C42"/>
    <mergeCell ref="A45:D45"/>
  </mergeCells>
  <pageMargins left="0.7" right="0.7" top="0.75" bottom="0.75" header="0.3" footer="0.3"/>
  <pageSetup paperSize="9" scale="77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383-7027-463F-8199-9795575B87E2}">
  <dimension ref="A1:P93"/>
  <sheetViews>
    <sheetView topLeftCell="E46" zoomScaleNormal="100" workbookViewId="0">
      <selection activeCell="G67" sqref="G67:M67"/>
    </sheetView>
  </sheetViews>
  <sheetFormatPr baseColWidth="10" defaultRowHeight="14.5" x14ac:dyDescent="0.35"/>
  <cols>
    <col min="1" max="1" width="60.36328125" customWidth="1"/>
    <col min="2" max="3" width="12.6328125" customWidth="1"/>
    <col min="7" max="7" width="15.36328125" bestFit="1" customWidth="1"/>
    <col min="8" max="8" width="18.08984375" customWidth="1"/>
    <col min="9" max="9" width="79.6328125" bestFit="1" customWidth="1"/>
    <col min="10" max="10" width="15.6328125" customWidth="1"/>
    <col min="258" max="258" width="55" customWidth="1"/>
    <col min="260" max="260" width="12.6328125" customWidth="1"/>
    <col min="264" max="264" width="79.6328125" bestFit="1" customWidth="1"/>
    <col min="514" max="514" width="55" customWidth="1"/>
    <col min="516" max="516" width="12.6328125" customWidth="1"/>
    <col min="520" max="520" width="79.6328125" bestFit="1" customWidth="1"/>
    <col min="770" max="770" width="55" customWidth="1"/>
    <col min="772" max="772" width="12.6328125" customWidth="1"/>
    <col min="776" max="776" width="79.6328125" bestFit="1" customWidth="1"/>
    <col min="1026" max="1026" width="55" customWidth="1"/>
    <col min="1028" max="1028" width="12.6328125" customWidth="1"/>
    <col min="1032" max="1032" width="79.6328125" bestFit="1" customWidth="1"/>
    <col min="1282" max="1282" width="55" customWidth="1"/>
    <col min="1284" max="1284" width="12.6328125" customWidth="1"/>
    <col min="1288" max="1288" width="79.6328125" bestFit="1" customWidth="1"/>
    <col min="1538" max="1538" width="55" customWidth="1"/>
    <col min="1540" max="1540" width="12.6328125" customWidth="1"/>
    <col min="1544" max="1544" width="79.6328125" bestFit="1" customWidth="1"/>
    <col min="1794" max="1794" width="55" customWidth="1"/>
    <col min="1796" max="1796" width="12.6328125" customWidth="1"/>
    <col min="1800" max="1800" width="79.6328125" bestFit="1" customWidth="1"/>
    <col min="2050" max="2050" width="55" customWidth="1"/>
    <col min="2052" max="2052" width="12.6328125" customWidth="1"/>
    <col min="2056" max="2056" width="79.6328125" bestFit="1" customWidth="1"/>
    <col min="2306" max="2306" width="55" customWidth="1"/>
    <col min="2308" max="2308" width="12.6328125" customWidth="1"/>
    <col min="2312" max="2312" width="79.6328125" bestFit="1" customWidth="1"/>
    <col min="2562" max="2562" width="55" customWidth="1"/>
    <col min="2564" max="2564" width="12.6328125" customWidth="1"/>
    <col min="2568" max="2568" width="79.6328125" bestFit="1" customWidth="1"/>
    <col min="2818" max="2818" width="55" customWidth="1"/>
    <col min="2820" max="2820" width="12.6328125" customWidth="1"/>
    <col min="2824" max="2824" width="79.6328125" bestFit="1" customWidth="1"/>
    <col min="3074" max="3074" width="55" customWidth="1"/>
    <col min="3076" max="3076" width="12.6328125" customWidth="1"/>
    <col min="3080" max="3080" width="79.6328125" bestFit="1" customWidth="1"/>
    <col min="3330" max="3330" width="55" customWidth="1"/>
    <col min="3332" max="3332" width="12.6328125" customWidth="1"/>
    <col min="3336" max="3336" width="79.6328125" bestFit="1" customWidth="1"/>
    <col min="3586" max="3586" width="55" customWidth="1"/>
    <col min="3588" max="3588" width="12.6328125" customWidth="1"/>
    <col min="3592" max="3592" width="79.6328125" bestFit="1" customWidth="1"/>
    <col min="3842" max="3842" width="55" customWidth="1"/>
    <col min="3844" max="3844" width="12.6328125" customWidth="1"/>
    <col min="3848" max="3848" width="79.6328125" bestFit="1" customWidth="1"/>
    <col min="4098" max="4098" width="55" customWidth="1"/>
    <col min="4100" max="4100" width="12.6328125" customWidth="1"/>
    <col min="4104" max="4104" width="79.6328125" bestFit="1" customWidth="1"/>
    <col min="4354" max="4354" width="55" customWidth="1"/>
    <col min="4356" max="4356" width="12.6328125" customWidth="1"/>
    <col min="4360" max="4360" width="79.6328125" bestFit="1" customWidth="1"/>
    <col min="4610" max="4610" width="55" customWidth="1"/>
    <col min="4612" max="4612" width="12.6328125" customWidth="1"/>
    <col min="4616" max="4616" width="79.6328125" bestFit="1" customWidth="1"/>
    <col min="4866" max="4866" width="55" customWidth="1"/>
    <col min="4868" max="4868" width="12.6328125" customWidth="1"/>
    <col min="4872" max="4872" width="79.6328125" bestFit="1" customWidth="1"/>
    <col min="5122" max="5122" width="55" customWidth="1"/>
    <col min="5124" max="5124" width="12.6328125" customWidth="1"/>
    <col min="5128" max="5128" width="79.6328125" bestFit="1" customWidth="1"/>
    <col min="5378" max="5378" width="55" customWidth="1"/>
    <col min="5380" max="5380" width="12.6328125" customWidth="1"/>
    <col min="5384" max="5384" width="79.6328125" bestFit="1" customWidth="1"/>
    <col min="5634" max="5634" width="55" customWidth="1"/>
    <col min="5636" max="5636" width="12.6328125" customWidth="1"/>
    <col min="5640" max="5640" width="79.6328125" bestFit="1" customWidth="1"/>
    <col min="5890" max="5890" width="55" customWidth="1"/>
    <col min="5892" max="5892" width="12.6328125" customWidth="1"/>
    <col min="5896" max="5896" width="79.6328125" bestFit="1" customWidth="1"/>
    <col min="6146" max="6146" width="55" customWidth="1"/>
    <col min="6148" max="6148" width="12.6328125" customWidth="1"/>
    <col min="6152" max="6152" width="79.6328125" bestFit="1" customWidth="1"/>
    <col min="6402" max="6402" width="55" customWidth="1"/>
    <col min="6404" max="6404" width="12.6328125" customWidth="1"/>
    <col min="6408" max="6408" width="79.6328125" bestFit="1" customWidth="1"/>
    <col min="6658" max="6658" width="55" customWidth="1"/>
    <col min="6660" max="6660" width="12.6328125" customWidth="1"/>
    <col min="6664" max="6664" width="79.6328125" bestFit="1" customWidth="1"/>
    <col min="6914" max="6914" width="55" customWidth="1"/>
    <col min="6916" max="6916" width="12.6328125" customWidth="1"/>
    <col min="6920" max="6920" width="79.6328125" bestFit="1" customWidth="1"/>
    <col min="7170" max="7170" width="55" customWidth="1"/>
    <col min="7172" max="7172" width="12.6328125" customWidth="1"/>
    <col min="7176" max="7176" width="79.6328125" bestFit="1" customWidth="1"/>
    <col min="7426" max="7426" width="55" customWidth="1"/>
    <col min="7428" max="7428" width="12.6328125" customWidth="1"/>
    <col min="7432" max="7432" width="79.6328125" bestFit="1" customWidth="1"/>
    <col min="7682" max="7682" width="55" customWidth="1"/>
    <col min="7684" max="7684" width="12.6328125" customWidth="1"/>
    <col min="7688" max="7688" width="79.6328125" bestFit="1" customWidth="1"/>
    <col min="7938" max="7938" width="55" customWidth="1"/>
    <col min="7940" max="7940" width="12.6328125" customWidth="1"/>
    <col min="7944" max="7944" width="79.6328125" bestFit="1" customWidth="1"/>
    <col min="8194" max="8194" width="55" customWidth="1"/>
    <col min="8196" max="8196" width="12.6328125" customWidth="1"/>
    <col min="8200" max="8200" width="79.6328125" bestFit="1" customWidth="1"/>
    <col min="8450" max="8450" width="55" customWidth="1"/>
    <col min="8452" max="8452" width="12.6328125" customWidth="1"/>
    <col min="8456" max="8456" width="79.6328125" bestFit="1" customWidth="1"/>
    <col min="8706" max="8706" width="55" customWidth="1"/>
    <col min="8708" max="8708" width="12.6328125" customWidth="1"/>
    <col min="8712" max="8712" width="79.6328125" bestFit="1" customWidth="1"/>
    <col min="8962" max="8962" width="55" customWidth="1"/>
    <col min="8964" max="8964" width="12.6328125" customWidth="1"/>
    <col min="8968" max="8968" width="79.6328125" bestFit="1" customWidth="1"/>
    <col min="9218" max="9218" width="55" customWidth="1"/>
    <col min="9220" max="9220" width="12.6328125" customWidth="1"/>
    <col min="9224" max="9224" width="79.6328125" bestFit="1" customWidth="1"/>
    <col min="9474" max="9474" width="55" customWidth="1"/>
    <col min="9476" max="9476" width="12.6328125" customWidth="1"/>
    <col min="9480" max="9480" width="79.6328125" bestFit="1" customWidth="1"/>
    <col min="9730" max="9730" width="55" customWidth="1"/>
    <col min="9732" max="9732" width="12.6328125" customWidth="1"/>
    <col min="9736" max="9736" width="79.6328125" bestFit="1" customWidth="1"/>
    <col min="9986" max="9986" width="55" customWidth="1"/>
    <col min="9988" max="9988" width="12.6328125" customWidth="1"/>
    <col min="9992" max="9992" width="79.6328125" bestFit="1" customWidth="1"/>
    <col min="10242" max="10242" width="55" customWidth="1"/>
    <col min="10244" max="10244" width="12.6328125" customWidth="1"/>
    <col min="10248" max="10248" width="79.6328125" bestFit="1" customWidth="1"/>
    <col min="10498" max="10498" width="55" customWidth="1"/>
    <col min="10500" max="10500" width="12.6328125" customWidth="1"/>
    <col min="10504" max="10504" width="79.6328125" bestFit="1" customWidth="1"/>
    <col min="10754" max="10754" width="55" customWidth="1"/>
    <col min="10756" max="10756" width="12.6328125" customWidth="1"/>
    <col min="10760" max="10760" width="79.6328125" bestFit="1" customWidth="1"/>
    <col min="11010" max="11010" width="55" customWidth="1"/>
    <col min="11012" max="11012" width="12.6328125" customWidth="1"/>
    <col min="11016" max="11016" width="79.6328125" bestFit="1" customWidth="1"/>
    <col min="11266" max="11266" width="55" customWidth="1"/>
    <col min="11268" max="11268" width="12.6328125" customWidth="1"/>
    <col min="11272" max="11272" width="79.6328125" bestFit="1" customWidth="1"/>
    <col min="11522" max="11522" width="55" customWidth="1"/>
    <col min="11524" max="11524" width="12.6328125" customWidth="1"/>
    <col min="11528" max="11528" width="79.6328125" bestFit="1" customWidth="1"/>
    <col min="11778" max="11778" width="55" customWidth="1"/>
    <col min="11780" max="11780" width="12.6328125" customWidth="1"/>
    <col min="11784" max="11784" width="79.6328125" bestFit="1" customWidth="1"/>
    <col min="12034" max="12034" width="55" customWidth="1"/>
    <col min="12036" max="12036" width="12.6328125" customWidth="1"/>
    <col min="12040" max="12040" width="79.6328125" bestFit="1" customWidth="1"/>
    <col min="12290" max="12290" width="55" customWidth="1"/>
    <col min="12292" max="12292" width="12.6328125" customWidth="1"/>
    <col min="12296" max="12296" width="79.6328125" bestFit="1" customWidth="1"/>
    <col min="12546" max="12546" width="55" customWidth="1"/>
    <col min="12548" max="12548" width="12.6328125" customWidth="1"/>
    <col min="12552" max="12552" width="79.6328125" bestFit="1" customWidth="1"/>
    <col min="12802" max="12802" width="55" customWidth="1"/>
    <col min="12804" max="12804" width="12.6328125" customWidth="1"/>
    <col min="12808" max="12808" width="79.6328125" bestFit="1" customWidth="1"/>
    <col min="13058" max="13058" width="55" customWidth="1"/>
    <col min="13060" max="13060" width="12.6328125" customWidth="1"/>
    <col min="13064" max="13064" width="79.6328125" bestFit="1" customWidth="1"/>
    <col min="13314" max="13314" width="55" customWidth="1"/>
    <col min="13316" max="13316" width="12.6328125" customWidth="1"/>
    <col min="13320" max="13320" width="79.6328125" bestFit="1" customWidth="1"/>
    <col min="13570" max="13570" width="55" customWidth="1"/>
    <col min="13572" max="13572" width="12.6328125" customWidth="1"/>
    <col min="13576" max="13576" width="79.6328125" bestFit="1" customWidth="1"/>
    <col min="13826" max="13826" width="55" customWidth="1"/>
    <col min="13828" max="13828" width="12.6328125" customWidth="1"/>
    <col min="13832" max="13832" width="79.6328125" bestFit="1" customWidth="1"/>
    <col min="14082" max="14082" width="55" customWidth="1"/>
    <col min="14084" max="14084" width="12.6328125" customWidth="1"/>
    <col min="14088" max="14088" width="79.6328125" bestFit="1" customWidth="1"/>
    <col min="14338" max="14338" width="55" customWidth="1"/>
    <col min="14340" max="14340" width="12.6328125" customWidth="1"/>
    <col min="14344" max="14344" width="79.6328125" bestFit="1" customWidth="1"/>
    <col min="14594" max="14594" width="55" customWidth="1"/>
    <col min="14596" max="14596" width="12.6328125" customWidth="1"/>
    <col min="14600" max="14600" width="79.6328125" bestFit="1" customWidth="1"/>
    <col min="14850" max="14850" width="55" customWidth="1"/>
    <col min="14852" max="14852" width="12.6328125" customWidth="1"/>
    <col min="14856" max="14856" width="79.6328125" bestFit="1" customWidth="1"/>
    <col min="15106" max="15106" width="55" customWidth="1"/>
    <col min="15108" max="15108" width="12.6328125" customWidth="1"/>
    <col min="15112" max="15112" width="79.6328125" bestFit="1" customWidth="1"/>
    <col min="15362" max="15362" width="55" customWidth="1"/>
    <col min="15364" max="15364" width="12.6328125" customWidth="1"/>
    <col min="15368" max="15368" width="79.6328125" bestFit="1" customWidth="1"/>
    <col min="15618" max="15618" width="55" customWidth="1"/>
    <col min="15620" max="15620" width="12.6328125" customWidth="1"/>
    <col min="15624" max="15624" width="79.6328125" bestFit="1" customWidth="1"/>
    <col min="15874" max="15874" width="55" customWidth="1"/>
    <col min="15876" max="15876" width="12.6328125" customWidth="1"/>
    <col min="15880" max="15880" width="79.6328125" bestFit="1" customWidth="1"/>
    <col min="16130" max="16130" width="55" customWidth="1"/>
    <col min="16132" max="16132" width="12.6328125" customWidth="1"/>
    <col min="16136" max="16136" width="79.6328125" bestFit="1" customWidth="1"/>
  </cols>
  <sheetData>
    <row r="1" spans="1:13" ht="24" customHeight="1" thickBot="1" x14ac:dyDescent="0.4">
      <c r="A1" s="343" t="s">
        <v>863</v>
      </c>
      <c r="B1" s="343"/>
      <c r="C1" s="343"/>
      <c r="D1" s="343"/>
      <c r="E1" s="92"/>
    </row>
    <row r="2" spans="1:13" ht="26.25" customHeight="1" thickBot="1" x14ac:dyDescent="0.4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44" t="s">
        <v>819</v>
      </c>
      <c r="H2" s="345"/>
      <c r="I2" s="100"/>
    </row>
    <row r="3" spans="1:13" ht="15.75" customHeight="1" thickBot="1" x14ac:dyDescent="0.4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4">
      <c r="A4" s="117" t="s">
        <v>815</v>
      </c>
      <c r="B4" s="120"/>
      <c r="C4" s="121">
        <v>510</v>
      </c>
      <c r="D4" s="121">
        <f>(B4*C4)</f>
        <v>0</v>
      </c>
      <c r="E4" s="91"/>
      <c r="F4" s="77"/>
      <c r="G4" s="145">
        <v>450</v>
      </c>
      <c r="H4" s="145">
        <f>G4*B4</f>
        <v>0</v>
      </c>
      <c r="I4" s="142" t="s">
        <v>813</v>
      </c>
    </row>
    <row r="5" spans="1:13" ht="12.75" customHeight="1" thickBot="1" x14ac:dyDescent="0.4">
      <c r="A5" s="118" t="s">
        <v>865</v>
      </c>
      <c r="B5" s="120"/>
      <c r="C5" s="121">
        <v>51</v>
      </c>
      <c r="D5" s="121">
        <f t="shared" ref="D5:D17" si="0">+B5*C5</f>
        <v>0</v>
      </c>
      <c r="E5" s="91"/>
      <c r="F5" s="77"/>
      <c r="G5" s="146">
        <v>42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4">
      <c r="A6" s="117" t="s">
        <v>866</v>
      </c>
      <c r="B6" s="120"/>
      <c r="C6" s="121">
        <v>41.14</v>
      </c>
      <c r="D6" s="121">
        <f t="shared" si="0"/>
        <v>0</v>
      </c>
      <c r="E6" s="91"/>
      <c r="F6" s="77"/>
      <c r="G6" s="147">
        <v>60</v>
      </c>
      <c r="H6" s="145">
        <f t="shared" si="1"/>
        <v>0</v>
      </c>
      <c r="I6" s="143" t="s">
        <v>866</v>
      </c>
      <c r="J6" s="86"/>
    </row>
    <row r="7" spans="1:13" ht="14.25" customHeight="1" thickBot="1" x14ac:dyDescent="0.4">
      <c r="A7" s="117" t="s">
        <v>867</v>
      </c>
      <c r="B7" s="122"/>
      <c r="C7" s="121">
        <v>51</v>
      </c>
      <c r="D7" s="121">
        <f t="shared" si="0"/>
        <v>0</v>
      </c>
      <c r="E7" s="91"/>
      <c r="F7" s="77"/>
      <c r="G7" s="147">
        <v>68.900000000000006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4">
      <c r="A8" s="117" t="s">
        <v>868</v>
      </c>
      <c r="B8" s="120"/>
      <c r="C8" s="121">
        <v>72.11</v>
      </c>
      <c r="D8" s="121">
        <f t="shared" si="0"/>
        <v>0</v>
      </c>
      <c r="E8" s="91"/>
      <c r="F8" s="77"/>
      <c r="G8" s="147">
        <v>40.93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4">
      <c r="A9" s="117" t="s">
        <v>869</v>
      </c>
      <c r="B9" s="120"/>
      <c r="C9" s="121">
        <v>68</v>
      </c>
      <c r="D9" s="121">
        <f t="shared" si="0"/>
        <v>0</v>
      </c>
      <c r="E9" s="91"/>
      <c r="G9" s="147">
        <v>61.73</v>
      </c>
      <c r="H9" s="145">
        <f t="shared" si="1"/>
        <v>0</v>
      </c>
      <c r="I9" s="142" t="s">
        <v>869</v>
      </c>
      <c r="J9" s="86"/>
    </row>
    <row r="10" spans="1:13" ht="12.75" customHeight="1" thickBot="1" x14ac:dyDescent="0.4">
      <c r="A10" s="117" t="s">
        <v>870</v>
      </c>
      <c r="B10" s="120"/>
      <c r="C10" s="121">
        <f>C6*1.2</f>
        <v>49.368000000000002</v>
      </c>
      <c r="D10" s="121">
        <f t="shared" si="0"/>
        <v>0</v>
      </c>
      <c r="E10" s="91"/>
      <c r="G10" s="147">
        <v>66.03</v>
      </c>
      <c r="H10" s="145">
        <f t="shared" si="1"/>
        <v>0</v>
      </c>
      <c r="I10" s="142" t="s">
        <v>870</v>
      </c>
      <c r="M10" s="87"/>
    </row>
    <row r="11" spans="1:13" ht="12.75" customHeight="1" thickBot="1" x14ac:dyDescent="0.4">
      <c r="A11" s="117" t="s">
        <v>874</v>
      </c>
      <c r="B11" s="120"/>
      <c r="C11" s="121">
        <f t="shared" ref="C11:C13" si="2">C7*1.2</f>
        <v>61.199999999999996</v>
      </c>
      <c r="D11" s="121">
        <f t="shared" si="0"/>
        <v>0</v>
      </c>
      <c r="E11" s="91"/>
      <c r="G11" s="146">
        <v>45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4">
      <c r="A12" s="117" t="s">
        <v>875</v>
      </c>
      <c r="B12" s="120"/>
      <c r="C12" s="121">
        <f t="shared" si="2"/>
        <v>86.531999999999996</v>
      </c>
      <c r="D12" s="121">
        <f t="shared" si="0"/>
        <v>0</v>
      </c>
      <c r="E12" s="91"/>
      <c r="G12" s="147">
        <v>7.08</v>
      </c>
      <c r="H12" s="145">
        <f t="shared" si="1"/>
        <v>0</v>
      </c>
      <c r="I12" s="142" t="s">
        <v>875</v>
      </c>
      <c r="J12" s="86"/>
    </row>
    <row r="13" spans="1:13" ht="12.75" customHeight="1" thickBot="1" x14ac:dyDescent="0.4">
      <c r="A13" s="117" t="s">
        <v>876</v>
      </c>
      <c r="B13" s="122"/>
      <c r="C13" s="121">
        <f t="shared" si="2"/>
        <v>81.599999999999994</v>
      </c>
      <c r="D13" s="121">
        <f t="shared" si="0"/>
        <v>0</v>
      </c>
      <c r="E13" s="91"/>
      <c r="G13" s="146">
        <v>11.13</v>
      </c>
      <c r="H13" s="145">
        <f t="shared" si="1"/>
        <v>0</v>
      </c>
      <c r="I13" s="142" t="s">
        <v>876</v>
      </c>
      <c r="J13" s="86"/>
    </row>
    <row r="14" spans="1:13" ht="12.75" customHeight="1" thickBot="1" x14ac:dyDescent="0.4">
      <c r="A14" s="117" t="s">
        <v>877</v>
      </c>
      <c r="B14" s="122"/>
      <c r="C14" s="121">
        <v>22</v>
      </c>
      <c r="D14" s="121">
        <f t="shared" si="0"/>
        <v>0</v>
      </c>
      <c r="E14" s="91"/>
      <c r="F14" s="89"/>
      <c r="G14" s="147">
        <v>2.98</v>
      </c>
      <c r="H14" s="145">
        <f t="shared" si="1"/>
        <v>0</v>
      </c>
      <c r="I14" s="142" t="s">
        <v>877</v>
      </c>
      <c r="J14" s="86"/>
    </row>
    <row r="15" spans="1:13" ht="12.75" customHeight="1" thickBot="1" x14ac:dyDescent="0.4">
      <c r="A15" s="117" t="s">
        <v>878</v>
      </c>
      <c r="B15" s="122"/>
      <c r="C15" s="121">
        <v>23</v>
      </c>
      <c r="D15" s="121">
        <f t="shared" si="0"/>
        <v>0</v>
      </c>
      <c r="E15" s="91"/>
      <c r="F15" s="87"/>
      <c r="G15" s="147">
        <v>1.81</v>
      </c>
      <c r="H15" s="145">
        <f t="shared" si="1"/>
        <v>0</v>
      </c>
      <c r="I15" s="142" t="s">
        <v>878</v>
      </c>
    </row>
    <row r="16" spans="1:13" ht="12.75" customHeight="1" thickBot="1" x14ac:dyDescent="0.4">
      <c r="A16" s="117" t="s">
        <v>879</v>
      </c>
      <c r="B16" s="120"/>
      <c r="C16" s="121">
        <v>12</v>
      </c>
      <c r="D16" s="121">
        <f t="shared" si="0"/>
        <v>0</v>
      </c>
      <c r="E16" s="91"/>
      <c r="F16" s="90"/>
      <c r="G16" s="146">
        <v>51</v>
      </c>
      <c r="H16" s="145">
        <f t="shared" si="1"/>
        <v>0</v>
      </c>
      <c r="I16" s="142" t="s">
        <v>879</v>
      </c>
    </row>
    <row r="17" spans="1:13" ht="17.25" customHeight="1" thickBot="1" x14ac:dyDescent="0.4">
      <c r="A17" s="117" t="s">
        <v>880</v>
      </c>
      <c r="B17" s="123"/>
      <c r="C17" s="124">
        <v>11</v>
      </c>
      <c r="D17" s="124">
        <f t="shared" si="0"/>
        <v>0</v>
      </c>
      <c r="E17" s="91"/>
      <c r="G17" s="153">
        <v>13</v>
      </c>
      <c r="H17" s="145">
        <f t="shared" si="1"/>
        <v>0</v>
      </c>
      <c r="I17" s="142" t="s">
        <v>880</v>
      </c>
    </row>
    <row r="18" spans="1:13" ht="12.75" customHeight="1" thickTop="1" thickBot="1" x14ac:dyDescent="0.4">
      <c r="A18" s="125"/>
      <c r="B18" s="349" t="s">
        <v>798</v>
      </c>
      <c r="C18" s="350"/>
      <c r="D18" s="136">
        <f>SUM(D4:D17)</f>
        <v>0</v>
      </c>
      <c r="E18" s="95"/>
      <c r="F18" s="87"/>
      <c r="G18" s="154">
        <v>12</v>
      </c>
      <c r="H18" s="154">
        <f>G18*B20</f>
        <v>0</v>
      </c>
      <c r="I18" s="142" t="s">
        <v>882</v>
      </c>
    </row>
    <row r="19" spans="1:13" ht="12.75" customHeight="1" thickBot="1" x14ac:dyDescent="0.4">
      <c r="A19" s="116" t="s">
        <v>881</v>
      </c>
      <c r="B19" s="119"/>
      <c r="C19" s="119"/>
      <c r="D19" s="119"/>
      <c r="E19" s="94"/>
      <c r="G19" s="148">
        <v>60</v>
      </c>
      <c r="H19" s="146">
        <f t="shared" ref="H19:H21" si="3">G19*B21</f>
        <v>0</v>
      </c>
      <c r="I19" s="142" t="s">
        <v>883</v>
      </c>
      <c r="L19" s="74"/>
      <c r="M19" s="88"/>
    </row>
    <row r="20" spans="1:13" ht="12.75" customHeight="1" thickBot="1" x14ac:dyDescent="0.4">
      <c r="A20" s="117" t="s">
        <v>882</v>
      </c>
      <c r="B20" s="122"/>
      <c r="C20" s="121">
        <v>250</v>
      </c>
      <c r="D20" s="126">
        <f>(B20*C20)</f>
        <v>0</v>
      </c>
      <c r="E20" s="96"/>
      <c r="G20" s="147">
        <v>22</v>
      </c>
      <c r="H20" s="146">
        <f t="shared" si="3"/>
        <v>0</v>
      </c>
      <c r="I20" s="152" t="s">
        <v>884</v>
      </c>
    </row>
    <row r="21" spans="1:13" ht="15" thickBot="1" x14ac:dyDescent="0.4">
      <c r="A21" s="118" t="s">
        <v>883</v>
      </c>
      <c r="B21" s="122"/>
      <c r="C21" s="121">
        <v>10</v>
      </c>
      <c r="D21" s="126">
        <f t="shared" ref="D21:D23" si="4">(B21*C21)</f>
        <v>0</v>
      </c>
      <c r="E21" s="96"/>
      <c r="G21" s="147"/>
      <c r="H21" s="146">
        <f t="shared" si="3"/>
        <v>0</v>
      </c>
      <c r="I21" s="152" t="s">
        <v>885</v>
      </c>
    </row>
    <row r="22" spans="1:13" ht="13.5" customHeight="1" thickBot="1" x14ac:dyDescent="0.4">
      <c r="A22" s="117" t="s">
        <v>884</v>
      </c>
      <c r="B22" s="122"/>
      <c r="C22" s="121">
        <v>28</v>
      </c>
      <c r="D22" s="126">
        <f t="shared" si="4"/>
        <v>0</v>
      </c>
      <c r="E22" s="91"/>
      <c r="G22" s="146">
        <v>8</v>
      </c>
      <c r="H22" s="149">
        <f>B55</f>
        <v>1</v>
      </c>
      <c r="I22" s="142" t="s">
        <v>923</v>
      </c>
    </row>
    <row r="23" spans="1:13" ht="12.75" customHeight="1" thickBot="1" x14ac:dyDescent="0.4">
      <c r="A23" s="117" t="s">
        <v>885</v>
      </c>
      <c r="B23" s="120"/>
      <c r="C23" s="121">
        <v>28</v>
      </c>
      <c r="D23" s="126">
        <f t="shared" si="4"/>
        <v>0</v>
      </c>
      <c r="E23" s="91"/>
      <c r="G23" s="150">
        <v>28.5</v>
      </c>
      <c r="H23" s="151">
        <f>B73</f>
        <v>0</v>
      </c>
      <c r="I23" s="142" t="s">
        <v>924</v>
      </c>
    </row>
    <row r="24" spans="1:13" ht="12.75" customHeight="1" thickBot="1" x14ac:dyDescent="0.4">
      <c r="A24" s="125"/>
      <c r="B24" s="351" t="s">
        <v>799</v>
      </c>
      <c r="C24" s="352"/>
      <c r="D24" s="136">
        <f>SUM(D20:D23)</f>
        <v>0</v>
      </c>
      <c r="E24" s="97"/>
      <c r="G24" s="74"/>
      <c r="H24" s="213">
        <f>SUM(H4:H23)</f>
        <v>1</v>
      </c>
    </row>
    <row r="25" spans="1:13" ht="12.75" customHeight="1" thickBot="1" x14ac:dyDescent="0.4">
      <c r="A25" s="116" t="s">
        <v>886</v>
      </c>
      <c r="B25" s="119"/>
      <c r="C25" s="119"/>
      <c r="D25" s="119"/>
      <c r="E25" s="94"/>
    </row>
    <row r="26" spans="1:13" ht="12.75" customHeight="1" thickBot="1" x14ac:dyDescent="0.4">
      <c r="A26" s="117" t="s">
        <v>887</v>
      </c>
      <c r="B26" s="120"/>
      <c r="C26" s="121">
        <v>5.93</v>
      </c>
      <c r="D26" s="121">
        <f t="shared" ref="D26:D37" si="5">+B26*C26</f>
        <v>0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4">
      <c r="A27" s="117" t="s">
        <v>888</v>
      </c>
      <c r="B27" s="122"/>
      <c r="C27" s="121">
        <v>26.08</v>
      </c>
      <c r="D27" s="121">
        <f t="shared" si="5"/>
        <v>0</v>
      </c>
      <c r="E27" s="91"/>
      <c r="G27" s="155"/>
      <c r="H27" s="156"/>
      <c r="I27" s="102"/>
      <c r="J27" s="102"/>
    </row>
    <row r="28" spans="1:13" ht="14.25" customHeight="1" thickBot="1" x14ac:dyDescent="0.4">
      <c r="A28" s="117" t="s">
        <v>889</v>
      </c>
      <c r="B28" s="122"/>
      <c r="C28" s="121">
        <v>27.76</v>
      </c>
      <c r="D28" s="121">
        <f t="shared" si="5"/>
        <v>0</v>
      </c>
      <c r="E28" s="91"/>
      <c r="F28" s="87"/>
      <c r="G28" s="163">
        <v>7.2</v>
      </c>
      <c r="H28" s="208">
        <f>G28*B26</f>
        <v>0</v>
      </c>
      <c r="I28" s="164" t="s">
        <v>887</v>
      </c>
      <c r="J28" s="102"/>
    </row>
    <row r="29" spans="1:13" ht="15" customHeight="1" thickBot="1" x14ac:dyDescent="0.4">
      <c r="A29" s="128" t="s">
        <v>890</v>
      </c>
      <c r="B29" s="122"/>
      <c r="C29" s="121">
        <v>37.1</v>
      </c>
      <c r="D29" s="121">
        <f t="shared" si="5"/>
        <v>0</v>
      </c>
      <c r="E29" s="91"/>
      <c r="F29" s="90"/>
      <c r="G29" s="163">
        <v>2.7</v>
      </c>
      <c r="H29" s="208">
        <f t="shared" ref="H29:H39" si="6">G29*B27</f>
        <v>0</v>
      </c>
      <c r="I29" s="164" t="s">
        <v>888</v>
      </c>
      <c r="J29" s="102"/>
    </row>
    <row r="30" spans="1:13" ht="12.75" customHeight="1" thickBot="1" x14ac:dyDescent="0.4">
      <c r="A30" s="117" t="s">
        <v>891</v>
      </c>
      <c r="B30" s="122"/>
      <c r="C30" s="121">
        <v>51.97</v>
      </c>
      <c r="D30" s="121">
        <f t="shared" si="5"/>
        <v>0</v>
      </c>
      <c r="E30" s="91"/>
      <c r="F30" s="90"/>
      <c r="G30" s="165"/>
      <c r="H30" s="208">
        <f t="shared" si="6"/>
        <v>0</v>
      </c>
      <c r="I30" s="166" t="s">
        <v>889</v>
      </c>
      <c r="J30" s="102"/>
    </row>
    <row r="31" spans="1:13" ht="12.75" customHeight="1" thickBot="1" x14ac:dyDescent="0.4">
      <c r="A31" s="117" t="s">
        <v>892</v>
      </c>
      <c r="B31" s="122"/>
      <c r="C31" s="121">
        <v>120.45</v>
      </c>
      <c r="D31" s="121">
        <f t="shared" si="5"/>
        <v>0</v>
      </c>
      <c r="E31" s="91"/>
      <c r="F31" s="90"/>
      <c r="G31" s="163">
        <v>27</v>
      </c>
      <c r="H31" s="208">
        <f t="shared" si="6"/>
        <v>0</v>
      </c>
      <c r="I31" s="164" t="s">
        <v>890</v>
      </c>
      <c r="J31" s="158"/>
    </row>
    <row r="32" spans="1:13" ht="15.65" customHeight="1" thickBot="1" x14ac:dyDescent="0.4">
      <c r="A32" s="117" t="s">
        <v>893</v>
      </c>
      <c r="B32" s="122"/>
      <c r="C32" s="121">
        <v>163.18</v>
      </c>
      <c r="D32" s="121">
        <f t="shared" si="5"/>
        <v>0</v>
      </c>
      <c r="E32" s="91"/>
      <c r="F32" s="86"/>
      <c r="G32" s="163">
        <v>18</v>
      </c>
      <c r="H32" s="208">
        <f t="shared" si="6"/>
        <v>0</v>
      </c>
      <c r="I32" s="164" t="s">
        <v>891</v>
      </c>
      <c r="J32" s="158"/>
    </row>
    <row r="33" spans="1:10" ht="12.75" customHeight="1" thickBot="1" x14ac:dyDescent="0.4">
      <c r="A33" s="117" t="s">
        <v>894</v>
      </c>
      <c r="B33" s="122"/>
      <c r="C33" s="121">
        <v>10.1</v>
      </c>
      <c r="D33" s="121">
        <f t="shared" si="5"/>
        <v>0</v>
      </c>
      <c r="E33" s="91"/>
      <c r="G33" s="163">
        <v>31.5</v>
      </c>
      <c r="H33" s="208">
        <f t="shared" si="6"/>
        <v>0</v>
      </c>
      <c r="I33" s="167" t="s">
        <v>892</v>
      </c>
      <c r="J33" s="159"/>
    </row>
    <row r="34" spans="1:10" ht="15.75" customHeight="1" thickBot="1" x14ac:dyDescent="0.4">
      <c r="A34" s="117" t="s">
        <v>895</v>
      </c>
      <c r="B34" s="120"/>
      <c r="C34" s="121">
        <v>8.1</v>
      </c>
      <c r="D34" s="121">
        <f t="shared" si="5"/>
        <v>0</v>
      </c>
      <c r="E34" s="91"/>
      <c r="F34" s="87"/>
      <c r="G34" s="163">
        <v>40.5</v>
      </c>
      <c r="H34" s="208">
        <f t="shared" si="6"/>
        <v>0</v>
      </c>
      <c r="I34" s="168" t="s">
        <v>893</v>
      </c>
      <c r="J34" s="159"/>
    </row>
    <row r="35" spans="1:10" ht="15.75" customHeight="1" thickBot="1" x14ac:dyDescent="0.4">
      <c r="A35" s="117" t="s">
        <v>897</v>
      </c>
      <c r="B35" s="120"/>
      <c r="C35" s="121">
        <v>35</v>
      </c>
      <c r="D35" s="121">
        <f t="shared" si="5"/>
        <v>0</v>
      </c>
      <c r="E35" s="91"/>
      <c r="F35" s="87"/>
      <c r="G35" s="163"/>
      <c r="H35" s="208">
        <f t="shared" si="6"/>
        <v>0</v>
      </c>
      <c r="I35" s="168" t="s">
        <v>894</v>
      </c>
      <c r="J35" s="159"/>
    </row>
    <row r="36" spans="1:10" ht="15.75" customHeight="1" thickBot="1" x14ac:dyDescent="0.4">
      <c r="A36" s="117" t="s">
        <v>898</v>
      </c>
      <c r="B36" s="120"/>
      <c r="C36" s="121">
        <v>118</v>
      </c>
      <c r="D36" s="121">
        <f t="shared" si="5"/>
        <v>0</v>
      </c>
      <c r="E36" s="91"/>
      <c r="F36" s="87"/>
      <c r="G36" s="163"/>
      <c r="H36" s="208">
        <f t="shared" si="6"/>
        <v>0</v>
      </c>
      <c r="I36" s="168" t="s">
        <v>895</v>
      </c>
      <c r="J36" s="159"/>
    </row>
    <row r="37" spans="1:10" ht="14.25" customHeight="1" thickBot="1" x14ac:dyDescent="0.4">
      <c r="A37" s="117" t="s">
        <v>896</v>
      </c>
      <c r="B37" s="122"/>
      <c r="C37" s="121">
        <v>60.47</v>
      </c>
      <c r="D37" s="121">
        <f t="shared" si="5"/>
        <v>0</v>
      </c>
      <c r="E37" s="91"/>
      <c r="G37" s="163">
        <v>31.5</v>
      </c>
      <c r="H37" s="208">
        <f t="shared" si="6"/>
        <v>0</v>
      </c>
      <c r="I37" s="167" t="s">
        <v>897</v>
      </c>
      <c r="J37" s="159"/>
    </row>
    <row r="38" spans="1:10" ht="14.25" customHeight="1" thickBot="1" x14ac:dyDescent="0.4">
      <c r="A38" s="125"/>
      <c r="B38" s="351" t="s">
        <v>800</v>
      </c>
      <c r="C38" s="353"/>
      <c r="D38" s="127">
        <f>SUM(D26:D37)</f>
        <v>0</v>
      </c>
      <c r="E38" s="97"/>
      <c r="G38" s="163">
        <v>151.19999999999999</v>
      </c>
      <c r="H38" s="208">
        <f t="shared" si="6"/>
        <v>0</v>
      </c>
      <c r="I38" s="169" t="s">
        <v>898</v>
      </c>
      <c r="J38" s="160"/>
    </row>
    <row r="39" spans="1:10" ht="12.75" customHeight="1" thickBot="1" x14ac:dyDescent="0.4">
      <c r="A39" s="116" t="s">
        <v>802</v>
      </c>
      <c r="B39" s="119"/>
      <c r="C39" s="119"/>
      <c r="D39" s="119"/>
      <c r="E39" s="94"/>
      <c r="G39" s="173">
        <v>81</v>
      </c>
      <c r="H39" s="208">
        <f t="shared" si="6"/>
        <v>0</v>
      </c>
      <c r="I39" s="174" t="s">
        <v>896</v>
      </c>
      <c r="J39" s="160"/>
    </row>
    <row r="40" spans="1:10" ht="16.25" customHeight="1" thickTop="1" thickBot="1" x14ac:dyDescent="0.4">
      <c r="A40" s="133" t="s">
        <v>899</v>
      </c>
      <c r="B40" s="129">
        <v>1</v>
      </c>
      <c r="C40" s="130">
        <v>1500</v>
      </c>
      <c r="D40" s="130">
        <f>B40*C40</f>
        <v>1500</v>
      </c>
      <c r="E40" s="98"/>
      <c r="G40" s="175">
        <v>55</v>
      </c>
      <c r="H40" s="209">
        <f>G40*B79</f>
        <v>0</v>
      </c>
      <c r="I40" s="176" t="s">
        <v>912</v>
      </c>
      <c r="J40" s="161"/>
    </row>
    <row r="41" spans="1:10" ht="12.65" customHeight="1" thickBot="1" x14ac:dyDescent="0.4">
      <c r="A41" s="133" t="s">
        <v>900</v>
      </c>
      <c r="B41" s="131">
        <v>1</v>
      </c>
      <c r="C41" s="130">
        <v>2100</v>
      </c>
      <c r="D41" s="130">
        <f>B41*C41</f>
        <v>2100</v>
      </c>
      <c r="E41" s="98"/>
      <c r="G41" s="170"/>
      <c r="H41" s="210">
        <f t="shared" ref="H41:H48" si="7">G41*B80</f>
        <v>0</v>
      </c>
      <c r="I41" s="166" t="s">
        <v>913</v>
      </c>
      <c r="J41" s="102"/>
    </row>
    <row r="42" spans="1:10" ht="15" thickBot="1" x14ac:dyDescent="0.4">
      <c r="A42" s="346"/>
      <c r="B42" s="354" t="s">
        <v>801</v>
      </c>
      <c r="C42" s="354"/>
      <c r="D42" s="127">
        <f>SUM(D40:D41)</f>
        <v>3600</v>
      </c>
      <c r="E42" s="97"/>
      <c r="G42" s="171">
        <v>27</v>
      </c>
      <c r="H42" s="210">
        <f t="shared" si="7"/>
        <v>0</v>
      </c>
      <c r="I42" s="172" t="s">
        <v>914</v>
      </c>
      <c r="J42" s="160"/>
    </row>
    <row r="43" spans="1:10" ht="15" thickBot="1" x14ac:dyDescent="0.4">
      <c r="A43" s="346"/>
      <c r="B43" s="355" t="s">
        <v>803</v>
      </c>
      <c r="C43" s="355"/>
      <c r="D43" s="132">
        <f>D42+D38+D24+D18</f>
        <v>3600</v>
      </c>
      <c r="E43" s="99"/>
      <c r="G43" s="171">
        <v>18</v>
      </c>
      <c r="H43" s="210">
        <f t="shared" si="7"/>
        <v>0</v>
      </c>
      <c r="I43" s="172" t="s">
        <v>915</v>
      </c>
      <c r="J43" s="160"/>
    </row>
    <row r="44" spans="1:10" ht="15" thickBot="1" x14ac:dyDescent="0.4">
      <c r="A44" s="81"/>
      <c r="B44" s="83"/>
      <c r="C44" s="82"/>
      <c r="D44" s="84"/>
      <c r="E44" s="84"/>
      <c r="G44" s="171">
        <v>31.5</v>
      </c>
      <c r="H44" s="210">
        <f t="shared" si="7"/>
        <v>0</v>
      </c>
      <c r="I44" s="172" t="s">
        <v>916</v>
      </c>
      <c r="J44" s="160"/>
    </row>
    <row r="45" spans="1:10" ht="15" thickBot="1" x14ac:dyDescent="0.4">
      <c r="A45" s="343" t="s">
        <v>906</v>
      </c>
      <c r="B45" s="343"/>
      <c r="C45" s="343"/>
      <c r="D45" s="343"/>
      <c r="E45" s="82"/>
      <c r="F45" s="87"/>
      <c r="G45" s="171">
        <v>40.5</v>
      </c>
      <c r="H45" s="210">
        <f t="shared" si="7"/>
        <v>0</v>
      </c>
      <c r="I45" s="172" t="s">
        <v>917</v>
      </c>
      <c r="J45" s="160"/>
    </row>
    <row r="46" spans="1:10" ht="15" customHeight="1" thickBot="1" x14ac:dyDescent="0.4">
      <c r="A46" s="115" t="s">
        <v>871</v>
      </c>
      <c r="B46" s="115" t="s">
        <v>872</v>
      </c>
      <c r="C46" s="115" t="s">
        <v>873</v>
      </c>
      <c r="D46" s="115" t="s">
        <v>808</v>
      </c>
      <c r="E46" s="82"/>
      <c r="G46" s="171">
        <v>31.5</v>
      </c>
      <c r="H46" s="210">
        <f t="shared" si="7"/>
        <v>0</v>
      </c>
      <c r="I46" s="172" t="s">
        <v>918</v>
      </c>
      <c r="J46" s="160"/>
    </row>
    <row r="47" spans="1:10" ht="15" customHeight="1" thickBot="1" x14ac:dyDescent="0.4">
      <c r="A47" s="116" t="s">
        <v>901</v>
      </c>
      <c r="B47" s="119"/>
      <c r="C47" s="119"/>
      <c r="D47" s="119"/>
      <c r="E47" s="80"/>
      <c r="G47" s="171">
        <v>117</v>
      </c>
      <c r="H47" s="210">
        <f t="shared" si="7"/>
        <v>0</v>
      </c>
      <c r="I47" s="172" t="s">
        <v>919</v>
      </c>
      <c r="J47" s="160"/>
    </row>
    <row r="48" spans="1:10" ht="12" customHeight="1" thickBot="1" x14ac:dyDescent="0.4">
      <c r="A48" s="117" t="s">
        <v>882</v>
      </c>
      <c r="B48" s="122"/>
      <c r="C48" s="121">
        <v>250</v>
      </c>
      <c r="D48" s="126">
        <f>(B48*C48)</f>
        <v>0</v>
      </c>
      <c r="E48" s="85"/>
      <c r="G48" s="171">
        <v>27</v>
      </c>
      <c r="H48" s="211">
        <f t="shared" si="7"/>
        <v>0</v>
      </c>
      <c r="I48" s="172" t="s">
        <v>920</v>
      </c>
      <c r="J48" s="162"/>
    </row>
    <row r="49" spans="1:16" ht="15" thickBot="1" x14ac:dyDescent="0.4">
      <c r="A49" s="118" t="s">
        <v>883</v>
      </c>
      <c r="B49" s="122">
        <v>2</v>
      </c>
      <c r="C49" s="121">
        <v>90</v>
      </c>
      <c r="D49" s="126">
        <f t="shared" ref="D49:D50" si="8">(B49*C49)</f>
        <v>180</v>
      </c>
      <c r="G49" s="105"/>
      <c r="H49" s="212">
        <f>SUM(H28:H48)</f>
        <v>0</v>
      </c>
      <c r="I49" s="106" t="s">
        <v>930</v>
      </c>
      <c r="L49" s="340"/>
      <c r="M49" s="341"/>
      <c r="N49" s="341"/>
      <c r="O49" s="341"/>
      <c r="P49" s="342"/>
    </row>
    <row r="50" spans="1:16" ht="15" thickBot="1" x14ac:dyDescent="0.4">
      <c r="A50" s="117" t="s">
        <v>884</v>
      </c>
      <c r="B50" s="122"/>
      <c r="C50" s="121">
        <v>28</v>
      </c>
      <c r="D50" s="126">
        <f t="shared" si="8"/>
        <v>0</v>
      </c>
      <c r="I50" s="106"/>
      <c r="L50" s="340"/>
      <c r="M50" s="341"/>
      <c r="N50" s="341"/>
      <c r="O50" s="196"/>
      <c r="P50" s="197"/>
    </row>
    <row r="51" spans="1:16" ht="15" thickBot="1" x14ac:dyDescent="0.4">
      <c r="A51" s="117" t="s">
        <v>885</v>
      </c>
      <c r="B51" s="120"/>
      <c r="C51" s="121">
        <v>28</v>
      </c>
      <c r="D51" s="121">
        <f t="shared" ref="D51" si="9">+B51*C51</f>
        <v>0</v>
      </c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ht="15" thickBot="1" x14ac:dyDescent="0.4">
      <c r="A52" s="125"/>
      <c r="B52" s="349" t="s">
        <v>798</v>
      </c>
      <c r="C52" s="350"/>
      <c r="D52" s="134">
        <f>SUM(D48:D51)</f>
        <v>180</v>
      </c>
      <c r="E52" s="108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ht="15" thickBot="1" x14ac:dyDescent="0.4">
      <c r="A53" s="116" t="s">
        <v>902</v>
      </c>
      <c r="B53" s="119"/>
      <c r="C53" s="119"/>
      <c r="D53" s="119"/>
      <c r="G53" s="163">
        <v>49</v>
      </c>
      <c r="H53" s="208">
        <f>G53*B51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ht="15" thickBot="1" x14ac:dyDescent="0.4">
      <c r="A54" s="117" t="s">
        <v>903</v>
      </c>
      <c r="B54" s="122">
        <v>1</v>
      </c>
      <c r="C54" s="121">
        <v>400</v>
      </c>
      <c r="D54" s="126">
        <f>(B54*C54)</f>
        <v>400</v>
      </c>
      <c r="E54" s="108"/>
      <c r="F54" s="108"/>
      <c r="G54" s="163">
        <v>120</v>
      </c>
      <c r="H54" s="208"/>
      <c r="I54" s="164" t="s">
        <v>933</v>
      </c>
      <c r="J54" s="184"/>
      <c r="K54" s="184"/>
      <c r="L54" s="110"/>
      <c r="M54" s="110"/>
      <c r="N54" s="110"/>
      <c r="O54" s="110"/>
      <c r="P54" s="110"/>
    </row>
    <row r="55" spans="1:16" ht="15" thickBot="1" x14ac:dyDescent="0.4">
      <c r="A55" s="137" t="s">
        <v>910</v>
      </c>
      <c r="B55" s="138">
        <v>1</v>
      </c>
      <c r="C55" s="139">
        <v>280</v>
      </c>
      <c r="D55" s="126">
        <f>(B55*C55)</f>
        <v>280</v>
      </c>
      <c r="E55" s="108"/>
      <c r="F55" s="108"/>
      <c r="G55" s="109"/>
      <c r="H55" s="212">
        <f>SUM(H53:H54)</f>
        <v>0</v>
      </c>
      <c r="I55" s="106" t="s">
        <v>930</v>
      </c>
    </row>
    <row r="56" spans="1:16" ht="15" thickBot="1" x14ac:dyDescent="0.4">
      <c r="A56" s="125"/>
      <c r="B56" s="351" t="s">
        <v>799</v>
      </c>
      <c r="C56" s="352"/>
      <c r="D56" s="135">
        <f>D54+D55</f>
        <v>680</v>
      </c>
      <c r="J56" s="186"/>
      <c r="K56" s="186"/>
      <c r="L56" s="186"/>
      <c r="M56" s="186"/>
      <c r="N56" s="186"/>
      <c r="O56" s="100"/>
      <c r="P56" s="100"/>
    </row>
    <row r="57" spans="1:16" ht="15" thickBot="1" x14ac:dyDescent="0.4">
      <c r="A57" s="116" t="s">
        <v>886</v>
      </c>
      <c r="B57" s="119"/>
      <c r="C57" s="119"/>
      <c r="D57" s="119"/>
      <c r="J57" s="187"/>
      <c r="K57" s="188"/>
      <c r="L57" s="188"/>
      <c r="M57" s="188"/>
      <c r="N57" s="188"/>
      <c r="O57" s="100"/>
      <c r="P57" s="100"/>
    </row>
    <row r="58" spans="1:16" ht="15" thickBot="1" x14ac:dyDescent="0.4">
      <c r="A58" s="117" t="s">
        <v>904</v>
      </c>
      <c r="B58" s="120">
        <v>1</v>
      </c>
      <c r="C58" s="121">
        <v>50</v>
      </c>
      <c r="D58" s="121">
        <f t="shared" ref="D58:D59" si="10">+B58*C58</f>
        <v>50</v>
      </c>
      <c r="G58" s="106"/>
      <c r="J58" s="364" t="s">
        <v>826</v>
      </c>
      <c r="K58" s="365"/>
      <c r="L58" s="365"/>
      <c r="M58" s="196"/>
      <c r="N58" s="197"/>
    </row>
    <row r="59" spans="1:16" ht="15" thickBot="1" x14ac:dyDescent="0.4">
      <c r="A59" s="117" t="s">
        <v>905</v>
      </c>
      <c r="B59" s="122"/>
      <c r="C59" s="121">
        <v>120</v>
      </c>
      <c r="D59" s="121">
        <f t="shared" si="10"/>
        <v>0</v>
      </c>
      <c r="G59" s="102"/>
      <c r="H59" s="200" t="s">
        <v>821</v>
      </c>
      <c r="I59" s="200" t="s">
        <v>809</v>
      </c>
      <c r="J59" s="200" t="s">
        <v>823</v>
      </c>
      <c r="K59" s="201" t="s">
        <v>824</v>
      </c>
      <c r="L59" s="202" t="s">
        <v>825</v>
      </c>
      <c r="M59" s="180"/>
      <c r="N59" s="180"/>
      <c r="O59" s="189" t="s">
        <v>808</v>
      </c>
    </row>
    <row r="60" spans="1:16" ht="15" thickBot="1" x14ac:dyDescent="0.4">
      <c r="A60" s="125"/>
      <c r="B60" s="351" t="s">
        <v>800</v>
      </c>
      <c r="C60" s="353"/>
      <c r="D60" s="127">
        <f>SUM(D58:D59)</f>
        <v>50</v>
      </c>
      <c r="G60" s="177" t="s">
        <v>820</v>
      </c>
      <c r="H60" s="193">
        <v>3</v>
      </c>
      <c r="I60" s="194">
        <f>SUM(J60:N60)</f>
        <v>16.5</v>
      </c>
      <c r="J60" s="110"/>
      <c r="K60" s="111">
        <v>14.5</v>
      </c>
      <c r="L60" s="111">
        <v>2</v>
      </c>
      <c r="M60" s="110"/>
      <c r="N60" s="110"/>
      <c r="O60" s="191"/>
    </row>
    <row r="61" spans="1:16" ht="15" thickBot="1" x14ac:dyDescent="0.4">
      <c r="A61" s="116" t="s">
        <v>802</v>
      </c>
      <c r="B61" s="119"/>
      <c r="C61" s="119"/>
      <c r="D61" s="119"/>
      <c r="G61" s="192" t="s">
        <v>827</v>
      </c>
      <c r="H61" s="195">
        <v>3</v>
      </c>
      <c r="I61" s="194">
        <f>(H61*7)</f>
        <v>21</v>
      </c>
      <c r="J61" s="110"/>
      <c r="K61" s="110"/>
      <c r="L61" s="110"/>
      <c r="M61" s="110"/>
      <c r="N61" s="110"/>
    </row>
    <row r="62" spans="1:16" ht="15" thickBot="1" x14ac:dyDescent="0.4">
      <c r="A62" s="133" t="s">
        <v>899</v>
      </c>
      <c r="B62" s="129">
        <v>1</v>
      </c>
      <c r="C62" s="130">
        <v>300</v>
      </c>
      <c r="D62" s="130">
        <f>B62*C62</f>
        <v>300</v>
      </c>
      <c r="G62" s="192" t="s">
        <v>807</v>
      </c>
      <c r="H62" s="194">
        <v>0</v>
      </c>
      <c r="I62" s="194">
        <f>(H62*7)</f>
        <v>0</v>
      </c>
      <c r="J62" s="110"/>
      <c r="K62" s="110"/>
      <c r="L62" s="110"/>
      <c r="M62" s="110"/>
      <c r="N62" s="110"/>
      <c r="O62" s="196"/>
      <c r="P62" s="87"/>
    </row>
    <row r="63" spans="1:16" ht="15" thickBot="1" x14ac:dyDescent="0.4">
      <c r="A63" s="133" t="s">
        <v>900</v>
      </c>
      <c r="B63" s="131">
        <v>0</v>
      </c>
      <c r="C63" s="130">
        <v>90</v>
      </c>
      <c r="D63" s="130">
        <f>B63*C63</f>
        <v>0</v>
      </c>
      <c r="G63" s="107"/>
      <c r="O63" s="180"/>
    </row>
    <row r="64" spans="1:16" ht="15" thickBot="1" x14ac:dyDescent="0.4">
      <c r="A64" s="346"/>
      <c r="B64" s="354" t="s">
        <v>801</v>
      </c>
      <c r="C64" s="354"/>
      <c r="D64" s="127">
        <f>D62+D63</f>
        <v>300</v>
      </c>
      <c r="H64" s="203" t="s">
        <v>813</v>
      </c>
      <c r="I64" s="203" t="s">
        <v>934</v>
      </c>
      <c r="J64" s="203" t="s">
        <v>937</v>
      </c>
      <c r="K64" s="203" t="s">
        <v>936</v>
      </c>
      <c r="L64" s="203" t="s">
        <v>806</v>
      </c>
      <c r="M64" s="100"/>
      <c r="N64" s="100"/>
      <c r="O64" s="110"/>
    </row>
    <row r="65" spans="1:16" ht="15" thickBot="1" x14ac:dyDescent="0.4">
      <c r="A65" s="346"/>
      <c r="B65" s="355" t="s">
        <v>803</v>
      </c>
      <c r="C65" s="355"/>
      <c r="D65" s="132">
        <f>D64+D60+D56+D52</f>
        <v>1210</v>
      </c>
      <c r="H65" s="214">
        <f>((100*2)*0.09*1.8)*H60</f>
        <v>97.199999999999989</v>
      </c>
      <c r="I65" s="215">
        <f>28.7+14.35</f>
        <v>43.05</v>
      </c>
      <c r="J65" s="215">
        <f>(3.5*0)</f>
        <v>0</v>
      </c>
      <c r="K65" s="215">
        <f>(15*0)</f>
        <v>0</v>
      </c>
      <c r="L65" s="215">
        <f>(60*0)</f>
        <v>0</v>
      </c>
      <c r="M65" s="100"/>
      <c r="N65" s="100"/>
      <c r="O65" s="110"/>
    </row>
    <row r="66" spans="1:16" x14ac:dyDescent="0.35">
      <c r="D66" s="87"/>
      <c r="O66" s="110"/>
      <c r="P66" s="87"/>
    </row>
    <row r="67" spans="1:16" ht="15" thickBot="1" x14ac:dyDescent="0.4">
      <c r="G67" s="205" t="s">
        <v>828</v>
      </c>
      <c r="H67" s="200" t="s">
        <v>818</v>
      </c>
      <c r="I67" s="200" t="s">
        <v>816</v>
      </c>
      <c r="J67" s="200" t="s">
        <v>817</v>
      </c>
      <c r="K67" s="200" t="s">
        <v>822</v>
      </c>
      <c r="L67" s="200" t="s">
        <v>829</v>
      </c>
      <c r="M67" s="206" t="s">
        <v>808</v>
      </c>
    </row>
    <row r="68" spans="1:16" ht="15" thickBot="1" x14ac:dyDescent="0.4">
      <c r="A68" s="343" t="s">
        <v>907</v>
      </c>
      <c r="B68" s="343"/>
      <c r="C68" s="343"/>
      <c r="D68" s="343"/>
      <c r="G68" s="103" t="s">
        <v>938</v>
      </c>
      <c r="H68" s="112">
        <f>D43</f>
        <v>3600</v>
      </c>
      <c r="I68" s="112">
        <f>(I60+I61+I62)*61.4</f>
        <v>2302.5</v>
      </c>
      <c r="J68" s="104">
        <f>(I65+J65+K65+L65)</f>
        <v>43.05</v>
      </c>
      <c r="K68" s="112">
        <f>(H65)</f>
        <v>97.199999999999989</v>
      </c>
      <c r="L68" s="220">
        <f>H55+H49+H24</f>
        <v>1</v>
      </c>
      <c r="M68" s="224">
        <f>(I68+J68+K68+L68)</f>
        <v>2443.75</v>
      </c>
      <c r="O68" s="100"/>
    </row>
    <row r="69" spans="1:16" ht="15" thickBot="1" x14ac:dyDescent="0.4">
      <c r="A69" s="115" t="s">
        <v>871</v>
      </c>
      <c r="B69" s="115" t="s">
        <v>872</v>
      </c>
      <c r="C69" s="115" t="s">
        <v>873</v>
      </c>
      <c r="D69" s="115" t="s">
        <v>808</v>
      </c>
      <c r="G69" s="216" t="s">
        <v>939</v>
      </c>
      <c r="H69" s="218">
        <f>D65</f>
        <v>1210</v>
      </c>
      <c r="I69" s="218">
        <f>(I60+I61+I62)*61.4</f>
        <v>2302.5</v>
      </c>
      <c r="J69" s="187">
        <f>I65</f>
        <v>43.05</v>
      </c>
      <c r="K69" s="188">
        <f>H65</f>
        <v>97.199999999999989</v>
      </c>
      <c r="L69" s="221">
        <f>H24+H49+H55</f>
        <v>1</v>
      </c>
      <c r="M69" s="224">
        <f>SUM(I69:L69)</f>
        <v>2443.75</v>
      </c>
      <c r="N69" s="188"/>
      <c r="O69" s="100"/>
    </row>
    <row r="70" spans="1:16" ht="15" thickBot="1" x14ac:dyDescent="0.4">
      <c r="A70" s="116"/>
      <c r="B70" s="119"/>
      <c r="C70" s="119"/>
      <c r="D70" s="119"/>
      <c r="G70" s="100" t="s">
        <v>940</v>
      </c>
      <c r="H70" s="218">
        <f>D93</f>
        <v>3681</v>
      </c>
      <c r="I70" s="218">
        <f>(I60+I61+I62)*61.4</f>
        <v>2302.5</v>
      </c>
      <c r="J70" s="218">
        <f>I65+J65+K65+L65</f>
        <v>43.05</v>
      </c>
      <c r="K70" s="218">
        <f>H65</f>
        <v>97.199999999999989</v>
      </c>
      <c r="L70" s="222">
        <f>H55+H49+H24</f>
        <v>1</v>
      </c>
      <c r="M70" s="225">
        <f>SUM(I70:L70)</f>
        <v>2443.75</v>
      </c>
    </row>
    <row r="71" spans="1:16" ht="15" thickBot="1" x14ac:dyDescent="0.4">
      <c r="A71" s="117" t="s">
        <v>908</v>
      </c>
      <c r="B71" s="120">
        <v>1</v>
      </c>
      <c r="C71" s="121">
        <v>51</v>
      </c>
      <c r="D71" s="121">
        <f>(B71*C71)</f>
        <v>51</v>
      </c>
      <c r="G71" s="100" t="s">
        <v>941</v>
      </c>
      <c r="H71" s="218">
        <f>D93+D43</f>
        <v>7281</v>
      </c>
      <c r="I71" s="112">
        <f>(I60+I61+I62)*61.4</f>
        <v>2302.5</v>
      </c>
      <c r="J71" s="112">
        <f>I65+J65+K65+L65</f>
        <v>43.05</v>
      </c>
      <c r="K71" s="104">
        <f>H65</f>
        <v>97.199999999999989</v>
      </c>
      <c r="L71" s="223">
        <f>H24+H49+H55</f>
        <v>1</v>
      </c>
      <c r="M71" s="226">
        <f>SUM(I71:L71)</f>
        <v>2443.75</v>
      </c>
      <c r="N71" s="180"/>
      <c r="O71" s="189"/>
    </row>
    <row r="72" spans="1:16" ht="15" thickBot="1" x14ac:dyDescent="0.4">
      <c r="A72" s="118" t="s">
        <v>909</v>
      </c>
      <c r="B72" s="120">
        <v>1</v>
      </c>
      <c r="C72" s="121">
        <v>30</v>
      </c>
      <c r="D72" s="121">
        <f t="shared" ref="D72:D73" si="11">+B72*C72</f>
        <v>30</v>
      </c>
      <c r="G72" s="100"/>
      <c r="H72" s="217"/>
      <c r="I72" s="219"/>
      <c r="J72" s="104"/>
      <c r="K72" s="157"/>
      <c r="L72" s="104"/>
      <c r="M72" s="157"/>
      <c r="N72" s="190"/>
      <c r="O72" s="191"/>
    </row>
    <row r="73" spans="1:16" ht="15" thickBot="1" x14ac:dyDescent="0.4">
      <c r="A73" s="117" t="s">
        <v>911</v>
      </c>
      <c r="B73" s="120"/>
      <c r="C73" s="121">
        <v>180</v>
      </c>
      <c r="D73" s="121">
        <f t="shared" si="11"/>
        <v>0</v>
      </c>
      <c r="I73" s="89"/>
    </row>
    <row r="74" spans="1:16" ht="15" thickBot="1" x14ac:dyDescent="0.4">
      <c r="A74" s="125"/>
      <c r="B74" s="351" t="s">
        <v>798</v>
      </c>
      <c r="C74" s="352"/>
      <c r="D74" s="136">
        <f>SUM(D71:D73)</f>
        <v>81</v>
      </c>
      <c r="I74" s="89"/>
    </row>
    <row r="75" spans="1:16" ht="15" thickBot="1" x14ac:dyDescent="0.4">
      <c r="A75" s="116" t="s">
        <v>886</v>
      </c>
      <c r="B75" s="119"/>
      <c r="C75" s="119"/>
      <c r="D75" s="119"/>
      <c r="I75" s="89"/>
    </row>
    <row r="76" spans="1:16" ht="15" thickBot="1" x14ac:dyDescent="0.4">
      <c r="A76" s="117" t="s">
        <v>887</v>
      </c>
      <c r="B76" s="120"/>
      <c r="C76" s="121">
        <v>5.93</v>
      </c>
      <c r="D76" s="121">
        <f t="shared" ref="D76:D87" si="12">+B76*C76</f>
        <v>0</v>
      </c>
    </row>
    <row r="77" spans="1:16" ht="15" thickBot="1" x14ac:dyDescent="0.4">
      <c r="A77" s="117" t="s">
        <v>888</v>
      </c>
      <c r="B77" s="122"/>
      <c r="C77" s="121">
        <v>26.08</v>
      </c>
      <c r="D77" s="121">
        <f t="shared" si="12"/>
        <v>0</v>
      </c>
    </row>
    <row r="78" spans="1:16" ht="15" thickBot="1" x14ac:dyDescent="0.4">
      <c r="A78" s="117" t="s">
        <v>889</v>
      </c>
      <c r="B78" s="122"/>
      <c r="C78" s="121">
        <v>27.76</v>
      </c>
      <c r="D78" s="121">
        <f t="shared" si="12"/>
        <v>0</v>
      </c>
    </row>
    <row r="79" spans="1:16" ht="15" thickBot="1" x14ac:dyDescent="0.4">
      <c r="A79" s="128" t="s">
        <v>912</v>
      </c>
      <c r="B79" s="122"/>
      <c r="C79" s="121">
        <v>30.65</v>
      </c>
      <c r="D79" s="121">
        <f t="shared" si="12"/>
        <v>0</v>
      </c>
    </row>
    <row r="80" spans="1:16" ht="15" thickBot="1" x14ac:dyDescent="0.4">
      <c r="A80" s="117" t="s">
        <v>913</v>
      </c>
      <c r="B80" s="122"/>
      <c r="C80" s="121">
        <v>30.88</v>
      </c>
      <c r="D80" s="121">
        <f t="shared" si="12"/>
        <v>0</v>
      </c>
    </row>
    <row r="81" spans="1:4" ht="15" thickBot="1" x14ac:dyDescent="0.4">
      <c r="A81" s="117" t="s">
        <v>914</v>
      </c>
      <c r="B81" s="122"/>
      <c r="C81" s="121">
        <v>36.75</v>
      </c>
      <c r="D81" s="121">
        <f t="shared" si="12"/>
        <v>0</v>
      </c>
    </row>
    <row r="82" spans="1:4" ht="15" thickBot="1" x14ac:dyDescent="0.4">
      <c r="A82" s="117" t="s">
        <v>915</v>
      </c>
      <c r="B82" s="122"/>
      <c r="C82" s="121">
        <v>43.92</v>
      </c>
      <c r="D82" s="121">
        <f t="shared" si="12"/>
        <v>0</v>
      </c>
    </row>
    <row r="83" spans="1:4" ht="15" thickBot="1" x14ac:dyDescent="0.4">
      <c r="A83" s="117" t="s">
        <v>916</v>
      </c>
      <c r="B83" s="122"/>
      <c r="C83" s="121">
        <v>70</v>
      </c>
      <c r="D83" s="121">
        <f t="shared" si="12"/>
        <v>0</v>
      </c>
    </row>
    <row r="84" spans="1:4" ht="15" thickBot="1" x14ac:dyDescent="0.4">
      <c r="A84" s="117" t="s">
        <v>917</v>
      </c>
      <c r="B84" s="120"/>
      <c r="C84" s="121">
        <v>115</v>
      </c>
      <c r="D84" s="121">
        <f t="shared" si="12"/>
        <v>0</v>
      </c>
    </row>
    <row r="85" spans="1:4" ht="15" thickBot="1" x14ac:dyDescent="0.4">
      <c r="A85" s="117" t="s">
        <v>918</v>
      </c>
      <c r="B85" s="120"/>
      <c r="C85" s="121">
        <v>35</v>
      </c>
      <c r="D85" s="121">
        <f t="shared" si="12"/>
        <v>0</v>
      </c>
    </row>
    <row r="86" spans="1:4" ht="15" thickBot="1" x14ac:dyDescent="0.4">
      <c r="A86" s="117" t="s">
        <v>919</v>
      </c>
      <c r="B86" s="120"/>
      <c r="C86" s="121">
        <v>50.78</v>
      </c>
      <c r="D86" s="121">
        <f t="shared" si="12"/>
        <v>0</v>
      </c>
    </row>
    <row r="87" spans="1:4" ht="15" thickBot="1" x14ac:dyDescent="0.4">
      <c r="A87" s="117" t="s">
        <v>920</v>
      </c>
      <c r="B87" s="122"/>
      <c r="C87" s="121">
        <v>125</v>
      </c>
      <c r="D87" s="121">
        <f t="shared" si="12"/>
        <v>0</v>
      </c>
    </row>
    <row r="88" spans="1:4" ht="15" thickBot="1" x14ac:dyDescent="0.4">
      <c r="A88" s="125"/>
      <c r="B88" s="351" t="s">
        <v>799</v>
      </c>
      <c r="C88" s="353"/>
      <c r="D88" s="127">
        <f>SUM(D76:D87)</f>
        <v>0</v>
      </c>
    </row>
    <row r="89" spans="1:4" ht="15" thickBot="1" x14ac:dyDescent="0.4">
      <c r="A89" s="116" t="s">
        <v>802</v>
      </c>
      <c r="B89" s="119"/>
      <c r="C89" s="119"/>
      <c r="D89" s="119"/>
    </row>
    <row r="90" spans="1:4" ht="15" thickBot="1" x14ac:dyDescent="0.4">
      <c r="A90" s="133" t="s">
        <v>899</v>
      </c>
      <c r="B90" s="129">
        <v>1</v>
      </c>
      <c r="C90" s="130">
        <v>1500</v>
      </c>
      <c r="D90" s="130">
        <f>B90*C90</f>
        <v>1500</v>
      </c>
    </row>
    <row r="91" spans="1:4" ht="15" thickBot="1" x14ac:dyDescent="0.4">
      <c r="A91" s="133" t="s">
        <v>921</v>
      </c>
      <c r="B91" s="131">
        <v>1</v>
      </c>
      <c r="C91" s="130">
        <v>2100</v>
      </c>
      <c r="D91" s="130">
        <f>B91*C91</f>
        <v>2100</v>
      </c>
    </row>
    <row r="92" spans="1:4" ht="15" thickBot="1" x14ac:dyDescent="0.4">
      <c r="A92" s="346"/>
      <c r="B92" s="354" t="s">
        <v>800</v>
      </c>
      <c r="C92" s="354"/>
      <c r="D92" s="127">
        <f>SUM(D90:D91)</f>
        <v>3600</v>
      </c>
    </row>
    <row r="93" spans="1:4" ht="15" thickBot="1" x14ac:dyDescent="0.4">
      <c r="A93" s="346"/>
      <c r="B93" s="355" t="s">
        <v>803</v>
      </c>
      <c r="C93" s="355"/>
      <c r="D93" s="132">
        <f>D92+D88+D74</f>
        <v>3681</v>
      </c>
    </row>
  </sheetData>
  <mergeCells count="24">
    <mergeCell ref="B88:C88"/>
    <mergeCell ref="A92:A93"/>
    <mergeCell ref="B92:C92"/>
    <mergeCell ref="B93:C93"/>
    <mergeCell ref="J58:L58"/>
    <mergeCell ref="A64:A65"/>
    <mergeCell ref="B64:C64"/>
    <mergeCell ref="B65:C65"/>
    <mergeCell ref="A68:D68"/>
    <mergeCell ref="B74:C74"/>
    <mergeCell ref="B60:C60"/>
    <mergeCell ref="A45:D45"/>
    <mergeCell ref="L49:P49"/>
    <mergeCell ref="L50:N50"/>
    <mergeCell ref="B52:C52"/>
    <mergeCell ref="B56:C56"/>
    <mergeCell ref="A42:A43"/>
    <mergeCell ref="B42:C42"/>
    <mergeCell ref="B43:C43"/>
    <mergeCell ref="A1:D1"/>
    <mergeCell ref="G2:H2"/>
    <mergeCell ref="B18:C18"/>
    <mergeCell ref="B24:C24"/>
    <mergeCell ref="B38:C38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8AA8-1556-446B-A8F8-CB5EDF5FB0CF}">
  <sheetPr>
    <tabColor theme="5" tint="0.39997558519241921"/>
  </sheetPr>
  <dimension ref="A1:E152"/>
  <sheetViews>
    <sheetView topLeftCell="A73" workbookViewId="0">
      <selection activeCell="C10" sqref="C10"/>
    </sheetView>
  </sheetViews>
  <sheetFormatPr baseColWidth="10" defaultRowHeight="14.5" x14ac:dyDescent="0.35"/>
  <cols>
    <col min="1" max="1" width="19.453125" customWidth="1"/>
    <col min="2" max="2" width="36.08984375" bestFit="1" customWidth="1"/>
    <col min="3" max="3" width="78.54296875" bestFit="1" customWidth="1"/>
    <col min="4" max="4" width="44" bestFit="1" customWidth="1"/>
    <col min="5" max="5" width="77.54296875" bestFit="1" customWidth="1"/>
  </cols>
  <sheetData>
    <row r="1" spans="1:5" x14ac:dyDescent="0.35">
      <c r="A1" s="18" t="s">
        <v>152</v>
      </c>
      <c r="B1" s="18" t="s">
        <v>421</v>
      </c>
      <c r="C1" s="18" t="s">
        <v>422</v>
      </c>
      <c r="D1" s="18" t="s">
        <v>694</v>
      </c>
      <c r="E1" s="18" t="s">
        <v>695</v>
      </c>
    </row>
    <row r="2" spans="1:5" x14ac:dyDescent="0.35">
      <c r="A2" s="6" t="s">
        <v>1</v>
      </c>
      <c r="B2" s="8" t="s">
        <v>153</v>
      </c>
      <c r="C2" s="9" t="s">
        <v>154</v>
      </c>
      <c r="D2" s="14" t="s">
        <v>423</v>
      </c>
      <c r="E2" s="9" t="s">
        <v>424</v>
      </c>
    </row>
    <row r="3" spans="1:5" x14ac:dyDescent="0.35">
      <c r="A3" s="6" t="s">
        <v>2</v>
      </c>
      <c r="B3" s="8" t="s">
        <v>155</v>
      </c>
      <c r="C3" s="9" t="s">
        <v>156</v>
      </c>
      <c r="D3" s="14" t="s">
        <v>425</v>
      </c>
      <c r="E3" s="9" t="s">
        <v>426</v>
      </c>
    </row>
    <row r="4" spans="1:5" x14ac:dyDescent="0.35">
      <c r="A4" s="6" t="s">
        <v>3</v>
      </c>
      <c r="B4" s="8" t="s">
        <v>157</v>
      </c>
      <c r="C4" s="10" t="s">
        <v>158</v>
      </c>
      <c r="D4" s="7" t="s">
        <v>427</v>
      </c>
      <c r="E4" s="10" t="s">
        <v>428</v>
      </c>
    </row>
    <row r="5" spans="1:5" x14ac:dyDescent="0.35">
      <c r="A5" s="6" t="s">
        <v>4</v>
      </c>
      <c r="B5" s="8" t="s">
        <v>159</v>
      </c>
      <c r="C5" s="10" t="s">
        <v>160</v>
      </c>
      <c r="D5" s="7" t="s">
        <v>429</v>
      </c>
      <c r="E5" s="10" t="s">
        <v>430</v>
      </c>
    </row>
    <row r="6" spans="1:5" x14ac:dyDescent="0.35">
      <c r="A6" s="6" t="s">
        <v>5</v>
      </c>
      <c r="B6" s="8" t="s">
        <v>161</v>
      </c>
      <c r="C6" s="11" t="s">
        <v>162</v>
      </c>
      <c r="D6" s="15" t="s">
        <v>431</v>
      </c>
      <c r="E6" s="11" t="s">
        <v>432</v>
      </c>
    </row>
    <row r="7" spans="1:5" x14ac:dyDescent="0.35">
      <c r="A7" s="6" t="s">
        <v>6</v>
      </c>
      <c r="B7" s="8" t="s">
        <v>163</v>
      </c>
      <c r="C7" s="11" t="s">
        <v>163</v>
      </c>
      <c r="D7" s="15" t="s">
        <v>433</v>
      </c>
      <c r="E7" s="11" t="s">
        <v>434</v>
      </c>
    </row>
    <row r="8" spans="1:5" x14ac:dyDescent="0.35">
      <c r="A8" s="7" t="s">
        <v>7</v>
      </c>
      <c r="B8" s="8" t="s">
        <v>164</v>
      </c>
      <c r="C8" s="12" t="s">
        <v>165</v>
      </c>
      <c r="D8" s="16" t="s">
        <v>435</v>
      </c>
      <c r="E8" s="12" t="s">
        <v>436</v>
      </c>
    </row>
    <row r="9" spans="1:5" x14ac:dyDescent="0.35">
      <c r="A9" s="7" t="s">
        <v>8</v>
      </c>
      <c r="B9" s="8" t="s">
        <v>166</v>
      </c>
      <c r="C9" s="12" t="s">
        <v>167</v>
      </c>
      <c r="D9" s="16" t="s">
        <v>437</v>
      </c>
      <c r="E9" s="12" t="s">
        <v>438</v>
      </c>
    </row>
    <row r="10" spans="1:5" x14ac:dyDescent="0.35">
      <c r="A10" s="7" t="s">
        <v>9</v>
      </c>
      <c r="B10" s="8" t="s">
        <v>168</v>
      </c>
      <c r="C10" s="11" t="s">
        <v>169</v>
      </c>
      <c r="D10" s="15" t="s">
        <v>439</v>
      </c>
      <c r="E10" s="11" t="s">
        <v>440</v>
      </c>
    </row>
    <row r="11" spans="1:5" x14ac:dyDescent="0.35">
      <c r="A11" s="7" t="s">
        <v>10</v>
      </c>
      <c r="B11" s="8" t="s">
        <v>170</v>
      </c>
      <c r="C11" s="11" t="s">
        <v>171</v>
      </c>
      <c r="D11" s="15" t="s">
        <v>441</v>
      </c>
      <c r="E11" s="11" t="s">
        <v>442</v>
      </c>
    </row>
    <row r="12" spans="1:5" x14ac:dyDescent="0.35">
      <c r="A12" s="7" t="s">
        <v>11</v>
      </c>
      <c r="B12" s="8" t="s">
        <v>172</v>
      </c>
      <c r="C12" s="11" t="s">
        <v>173</v>
      </c>
      <c r="D12" s="15" t="s">
        <v>443</v>
      </c>
      <c r="E12" s="11" t="s">
        <v>444</v>
      </c>
    </row>
    <row r="13" spans="1:5" x14ac:dyDescent="0.35">
      <c r="A13" s="7" t="s">
        <v>12</v>
      </c>
      <c r="B13" s="8" t="s">
        <v>174</v>
      </c>
      <c r="C13" s="11" t="s">
        <v>175</v>
      </c>
      <c r="D13" s="15" t="s">
        <v>445</v>
      </c>
      <c r="E13" s="11" t="s">
        <v>446</v>
      </c>
    </row>
    <row r="14" spans="1:5" x14ac:dyDescent="0.35">
      <c r="A14" s="7" t="s">
        <v>13</v>
      </c>
      <c r="B14" s="8" t="s">
        <v>176</v>
      </c>
      <c r="C14" s="11" t="s">
        <v>176</v>
      </c>
      <c r="D14" s="15" t="s">
        <v>447</v>
      </c>
      <c r="E14" s="11" t="s">
        <v>447</v>
      </c>
    </row>
    <row r="15" spans="1:5" x14ac:dyDescent="0.35">
      <c r="A15" s="7" t="s">
        <v>14</v>
      </c>
      <c r="B15" s="8" t="s">
        <v>177</v>
      </c>
      <c r="C15" s="11" t="s">
        <v>178</v>
      </c>
      <c r="D15" s="15" t="s">
        <v>448</v>
      </c>
      <c r="E15" s="11" t="s">
        <v>449</v>
      </c>
    </row>
    <row r="16" spans="1:5" x14ac:dyDescent="0.35">
      <c r="A16" s="7" t="s">
        <v>15</v>
      </c>
      <c r="B16" s="8" t="s">
        <v>179</v>
      </c>
      <c r="C16" s="10" t="s">
        <v>180</v>
      </c>
      <c r="D16" s="7" t="s">
        <v>450</v>
      </c>
      <c r="E16" s="10" t="s">
        <v>451</v>
      </c>
    </row>
    <row r="17" spans="1:5" x14ac:dyDescent="0.35">
      <c r="A17" s="7" t="s">
        <v>16</v>
      </c>
      <c r="B17" s="8" t="s">
        <v>181</v>
      </c>
      <c r="C17" s="10" t="s">
        <v>182</v>
      </c>
      <c r="D17" s="7" t="s">
        <v>452</v>
      </c>
      <c r="E17" s="10" t="s">
        <v>453</v>
      </c>
    </row>
    <row r="18" spans="1:5" x14ac:dyDescent="0.35">
      <c r="A18" s="7" t="s">
        <v>17</v>
      </c>
      <c r="B18" s="8" t="s">
        <v>183</v>
      </c>
      <c r="C18" s="10" t="s">
        <v>184</v>
      </c>
      <c r="D18" s="15" t="s">
        <v>454</v>
      </c>
      <c r="E18" s="10" t="s">
        <v>455</v>
      </c>
    </row>
    <row r="19" spans="1:5" x14ac:dyDescent="0.35">
      <c r="A19" s="7" t="s">
        <v>18</v>
      </c>
      <c r="B19" s="8" t="s">
        <v>185</v>
      </c>
      <c r="C19" s="10" t="s">
        <v>186</v>
      </c>
      <c r="D19" s="15" t="s">
        <v>456</v>
      </c>
      <c r="E19" s="10" t="s">
        <v>457</v>
      </c>
    </row>
    <row r="20" spans="1:5" x14ac:dyDescent="0.35">
      <c r="A20" s="7" t="s">
        <v>19</v>
      </c>
      <c r="B20" s="8" t="s">
        <v>187</v>
      </c>
      <c r="C20" s="10" t="s">
        <v>188</v>
      </c>
      <c r="D20" s="15" t="s">
        <v>458</v>
      </c>
      <c r="E20" s="10" t="s">
        <v>459</v>
      </c>
    </row>
    <row r="21" spans="1:5" x14ac:dyDescent="0.35">
      <c r="A21" s="7" t="s">
        <v>20</v>
      </c>
      <c r="B21" s="8" t="s">
        <v>189</v>
      </c>
      <c r="C21" s="10" t="s">
        <v>190</v>
      </c>
      <c r="D21" s="15" t="s">
        <v>460</v>
      </c>
      <c r="E21" s="10" t="s">
        <v>461</v>
      </c>
    </row>
    <row r="22" spans="1:5" x14ac:dyDescent="0.35">
      <c r="A22" s="7" t="s">
        <v>21</v>
      </c>
      <c r="B22" s="8" t="s">
        <v>191</v>
      </c>
      <c r="C22" s="10" t="s">
        <v>192</v>
      </c>
      <c r="D22" s="15" t="s">
        <v>462</v>
      </c>
      <c r="E22" s="10" t="s">
        <v>463</v>
      </c>
    </row>
    <row r="23" spans="1:5" x14ac:dyDescent="0.35">
      <c r="A23" s="7" t="s">
        <v>22</v>
      </c>
      <c r="B23" s="8" t="s">
        <v>193</v>
      </c>
      <c r="C23" s="10" t="s">
        <v>194</v>
      </c>
      <c r="D23" s="15" t="s">
        <v>464</v>
      </c>
      <c r="E23" s="10" t="s">
        <v>465</v>
      </c>
    </row>
    <row r="24" spans="1:5" x14ac:dyDescent="0.35">
      <c r="A24" s="7" t="s">
        <v>23</v>
      </c>
      <c r="B24" s="8" t="s">
        <v>195</v>
      </c>
      <c r="C24" s="10" t="s">
        <v>196</v>
      </c>
      <c r="D24" s="15" t="s">
        <v>466</v>
      </c>
      <c r="E24" s="10" t="s">
        <v>467</v>
      </c>
    </row>
    <row r="25" spans="1:5" x14ac:dyDescent="0.35">
      <c r="A25" s="7" t="s">
        <v>24</v>
      </c>
      <c r="B25" s="8" t="s">
        <v>197</v>
      </c>
      <c r="C25" s="10" t="s">
        <v>197</v>
      </c>
      <c r="D25" s="15" t="s">
        <v>468</v>
      </c>
      <c r="E25" s="10" t="s">
        <v>468</v>
      </c>
    </row>
    <row r="26" spans="1:5" x14ac:dyDescent="0.35">
      <c r="A26" s="7" t="s">
        <v>25</v>
      </c>
      <c r="B26" s="8" t="s">
        <v>198</v>
      </c>
      <c r="C26" s="10" t="s">
        <v>199</v>
      </c>
      <c r="D26" s="15" t="s">
        <v>469</v>
      </c>
      <c r="E26" s="10" t="s">
        <v>470</v>
      </c>
    </row>
    <row r="27" spans="1:5" x14ac:dyDescent="0.35">
      <c r="A27" s="7" t="s">
        <v>26</v>
      </c>
      <c r="B27" s="8" t="s">
        <v>200</v>
      </c>
      <c r="C27" s="10" t="s">
        <v>201</v>
      </c>
      <c r="D27" s="15" t="s">
        <v>471</v>
      </c>
      <c r="E27" s="10" t="s">
        <v>472</v>
      </c>
    </row>
    <row r="28" spans="1:5" x14ac:dyDescent="0.35">
      <c r="A28" s="7" t="s">
        <v>27</v>
      </c>
      <c r="B28" s="8" t="s">
        <v>202</v>
      </c>
      <c r="C28" s="10" t="s">
        <v>203</v>
      </c>
      <c r="D28" s="15" t="s">
        <v>473</v>
      </c>
      <c r="E28" s="10" t="s">
        <v>474</v>
      </c>
    </row>
    <row r="29" spans="1:5" x14ac:dyDescent="0.35">
      <c r="A29" s="7" t="s">
        <v>28</v>
      </c>
      <c r="B29" s="8" t="s">
        <v>204</v>
      </c>
      <c r="C29" s="10" t="s">
        <v>205</v>
      </c>
      <c r="D29" s="15" t="s">
        <v>475</v>
      </c>
      <c r="E29" s="10" t="s">
        <v>476</v>
      </c>
    </row>
    <row r="30" spans="1:5" x14ac:dyDescent="0.35">
      <c r="A30" s="7" t="s">
        <v>29</v>
      </c>
      <c r="B30" s="8" t="s">
        <v>206</v>
      </c>
      <c r="C30" s="10" t="s">
        <v>207</v>
      </c>
      <c r="D30" s="15" t="s">
        <v>477</v>
      </c>
      <c r="E30" s="10" t="s">
        <v>478</v>
      </c>
    </row>
    <row r="31" spans="1:5" x14ac:dyDescent="0.35">
      <c r="A31" s="7" t="s">
        <v>30</v>
      </c>
      <c r="B31" s="8" t="s">
        <v>208</v>
      </c>
      <c r="C31" s="10" t="s">
        <v>209</v>
      </c>
      <c r="D31" s="15" t="s">
        <v>479</v>
      </c>
      <c r="E31" s="10" t="s">
        <v>480</v>
      </c>
    </row>
    <row r="32" spans="1:5" x14ac:dyDescent="0.35">
      <c r="A32" s="7" t="s">
        <v>31</v>
      </c>
      <c r="B32" s="8" t="s">
        <v>210</v>
      </c>
      <c r="C32" s="10" t="s">
        <v>211</v>
      </c>
      <c r="D32" s="15" t="s">
        <v>481</v>
      </c>
      <c r="E32" s="10" t="s">
        <v>482</v>
      </c>
    </row>
    <row r="33" spans="1:5" x14ac:dyDescent="0.35">
      <c r="A33" s="7" t="s">
        <v>32</v>
      </c>
      <c r="B33" s="8" t="s">
        <v>212</v>
      </c>
      <c r="C33" s="10" t="s">
        <v>213</v>
      </c>
      <c r="D33" s="15" t="s">
        <v>483</v>
      </c>
      <c r="E33" s="10" t="s">
        <v>484</v>
      </c>
    </row>
    <row r="34" spans="1:5" x14ac:dyDescent="0.35">
      <c r="A34" s="7" t="s">
        <v>33</v>
      </c>
      <c r="B34" s="8" t="s">
        <v>214</v>
      </c>
      <c r="C34" s="10" t="s">
        <v>215</v>
      </c>
      <c r="D34" s="15" t="s">
        <v>485</v>
      </c>
      <c r="E34" s="10" t="s">
        <v>486</v>
      </c>
    </row>
    <row r="35" spans="1:5" x14ac:dyDescent="0.35">
      <c r="A35" s="7" t="s">
        <v>34</v>
      </c>
      <c r="B35" s="8" t="s">
        <v>216</v>
      </c>
      <c r="C35" s="10" t="s">
        <v>217</v>
      </c>
      <c r="D35" s="15" t="s">
        <v>487</v>
      </c>
      <c r="E35" s="10" t="s">
        <v>488</v>
      </c>
    </row>
    <row r="36" spans="1:5" x14ac:dyDescent="0.35">
      <c r="A36" s="7" t="s">
        <v>35</v>
      </c>
      <c r="B36" s="8" t="s">
        <v>218</v>
      </c>
      <c r="C36" s="10" t="s">
        <v>219</v>
      </c>
      <c r="D36" s="15" t="s">
        <v>489</v>
      </c>
      <c r="E36" s="10" t="s">
        <v>490</v>
      </c>
    </row>
    <row r="37" spans="1:5" x14ac:dyDescent="0.35">
      <c r="A37" s="7" t="s">
        <v>36</v>
      </c>
      <c r="B37" s="8" t="s">
        <v>220</v>
      </c>
      <c r="C37" s="10" t="s">
        <v>221</v>
      </c>
      <c r="D37" s="15" t="s">
        <v>491</v>
      </c>
      <c r="E37" s="10" t="s">
        <v>492</v>
      </c>
    </row>
    <row r="38" spans="1:5" x14ac:dyDescent="0.35">
      <c r="A38" s="7" t="s">
        <v>37</v>
      </c>
      <c r="B38" s="8" t="s">
        <v>222</v>
      </c>
      <c r="C38" s="10" t="s">
        <v>223</v>
      </c>
      <c r="D38" s="15" t="s">
        <v>493</v>
      </c>
      <c r="E38" s="10" t="s">
        <v>494</v>
      </c>
    </row>
    <row r="39" spans="1:5" x14ac:dyDescent="0.35">
      <c r="A39" s="7" t="s">
        <v>38</v>
      </c>
      <c r="B39" s="8" t="s">
        <v>224</v>
      </c>
      <c r="C39" s="10" t="s">
        <v>225</v>
      </c>
      <c r="D39" s="15" t="s">
        <v>495</v>
      </c>
      <c r="E39" s="10" t="s">
        <v>496</v>
      </c>
    </row>
    <row r="40" spans="1:5" x14ac:dyDescent="0.35">
      <c r="A40" s="7" t="s">
        <v>39</v>
      </c>
      <c r="B40" s="8" t="s">
        <v>226</v>
      </c>
      <c r="C40" s="10" t="s">
        <v>227</v>
      </c>
      <c r="D40" s="15" t="s">
        <v>497</v>
      </c>
      <c r="E40" s="10" t="s">
        <v>498</v>
      </c>
    </row>
    <row r="41" spans="1:5" x14ac:dyDescent="0.35">
      <c r="A41" s="7" t="s">
        <v>40</v>
      </c>
      <c r="B41" s="8" t="s">
        <v>228</v>
      </c>
      <c r="C41" s="10" t="s">
        <v>229</v>
      </c>
      <c r="D41" s="15" t="s">
        <v>499</v>
      </c>
      <c r="E41" s="10" t="s">
        <v>500</v>
      </c>
    </row>
    <row r="42" spans="1:5" x14ac:dyDescent="0.35">
      <c r="A42" s="7" t="s">
        <v>41</v>
      </c>
      <c r="B42" s="8" t="s">
        <v>230</v>
      </c>
      <c r="C42" s="10" t="s">
        <v>231</v>
      </c>
      <c r="D42" s="15" t="s">
        <v>501</v>
      </c>
      <c r="E42" s="10" t="s">
        <v>502</v>
      </c>
    </row>
    <row r="43" spans="1:5" x14ac:dyDescent="0.35">
      <c r="A43" s="7" t="s">
        <v>42</v>
      </c>
      <c r="B43" s="8" t="s">
        <v>232</v>
      </c>
      <c r="C43" s="10" t="s">
        <v>233</v>
      </c>
      <c r="D43" s="15" t="s">
        <v>503</v>
      </c>
      <c r="E43" s="10" t="s">
        <v>504</v>
      </c>
    </row>
    <row r="44" spans="1:5" x14ac:dyDescent="0.35">
      <c r="A44" s="7" t="s">
        <v>43</v>
      </c>
      <c r="B44" s="8" t="s">
        <v>234</v>
      </c>
      <c r="C44" s="10" t="s">
        <v>235</v>
      </c>
      <c r="D44" s="15" t="s">
        <v>505</v>
      </c>
      <c r="E44" s="10" t="s">
        <v>506</v>
      </c>
    </row>
    <row r="45" spans="1:5" x14ac:dyDescent="0.35">
      <c r="A45" s="7" t="s">
        <v>44</v>
      </c>
      <c r="B45" s="8" t="s">
        <v>236</v>
      </c>
      <c r="C45" s="10" t="s">
        <v>237</v>
      </c>
      <c r="D45" s="15" t="s">
        <v>507</v>
      </c>
      <c r="E45" s="10" t="s">
        <v>508</v>
      </c>
    </row>
    <row r="46" spans="1:5" x14ac:dyDescent="0.35">
      <c r="A46" s="7" t="s">
        <v>45</v>
      </c>
      <c r="B46" s="8" t="s">
        <v>238</v>
      </c>
      <c r="C46" s="10" t="s">
        <v>239</v>
      </c>
      <c r="D46" s="15" t="s">
        <v>509</v>
      </c>
      <c r="E46" s="10" t="s">
        <v>510</v>
      </c>
    </row>
    <row r="47" spans="1:5" x14ac:dyDescent="0.35">
      <c r="A47" s="7" t="s">
        <v>46</v>
      </c>
      <c r="B47" s="8" t="s">
        <v>240</v>
      </c>
      <c r="C47" s="10" t="s">
        <v>241</v>
      </c>
      <c r="D47" s="15" t="s">
        <v>511</v>
      </c>
      <c r="E47" s="10" t="s">
        <v>512</v>
      </c>
    </row>
    <row r="48" spans="1:5" x14ac:dyDescent="0.35">
      <c r="A48" s="7" t="s">
        <v>47</v>
      </c>
      <c r="B48" s="8" t="s">
        <v>242</v>
      </c>
      <c r="C48" s="10" t="s">
        <v>243</v>
      </c>
      <c r="D48" s="15" t="s">
        <v>513</v>
      </c>
      <c r="E48" s="10" t="s">
        <v>514</v>
      </c>
    </row>
    <row r="49" spans="1:5" x14ac:dyDescent="0.35">
      <c r="A49" s="7" t="s">
        <v>48</v>
      </c>
      <c r="B49" s="8" t="s">
        <v>244</v>
      </c>
      <c r="C49" s="10" t="s">
        <v>245</v>
      </c>
      <c r="D49" s="15" t="s">
        <v>244</v>
      </c>
      <c r="E49" s="10" t="s">
        <v>515</v>
      </c>
    </row>
    <row r="50" spans="1:5" x14ac:dyDescent="0.35">
      <c r="A50" s="7" t="s">
        <v>49</v>
      </c>
      <c r="B50" s="8" t="s">
        <v>246</v>
      </c>
      <c r="C50" s="10" t="s">
        <v>247</v>
      </c>
      <c r="D50" s="15" t="s">
        <v>516</v>
      </c>
      <c r="E50" s="10" t="s">
        <v>517</v>
      </c>
    </row>
    <row r="51" spans="1:5" x14ac:dyDescent="0.35">
      <c r="A51" s="7" t="s">
        <v>50</v>
      </c>
      <c r="B51" s="8" t="s">
        <v>248</v>
      </c>
      <c r="C51" s="10" t="s">
        <v>249</v>
      </c>
      <c r="D51" s="15" t="s">
        <v>248</v>
      </c>
      <c r="E51" s="10" t="s">
        <v>518</v>
      </c>
    </row>
    <row r="52" spans="1:5" x14ac:dyDescent="0.35">
      <c r="A52" s="7" t="s">
        <v>51</v>
      </c>
      <c r="B52" s="8" t="s">
        <v>250</v>
      </c>
      <c r="C52" s="10" t="s">
        <v>251</v>
      </c>
      <c r="D52" s="15" t="s">
        <v>519</v>
      </c>
      <c r="E52" s="10" t="s">
        <v>520</v>
      </c>
    </row>
    <row r="53" spans="1:5" x14ac:dyDescent="0.35">
      <c r="A53" s="7" t="s">
        <v>52</v>
      </c>
      <c r="B53" s="8" t="s">
        <v>252</v>
      </c>
      <c r="C53" s="10" t="s">
        <v>253</v>
      </c>
      <c r="D53" s="15" t="s">
        <v>521</v>
      </c>
      <c r="E53" s="10" t="s">
        <v>522</v>
      </c>
    </row>
    <row r="54" spans="1:5" x14ac:dyDescent="0.35">
      <c r="A54" s="7" t="s">
        <v>53</v>
      </c>
      <c r="B54" s="8" t="s">
        <v>254</v>
      </c>
      <c r="C54" s="10" t="s">
        <v>254</v>
      </c>
      <c r="D54" s="15" t="s">
        <v>523</v>
      </c>
      <c r="E54" s="10" t="s">
        <v>523</v>
      </c>
    </row>
    <row r="55" spans="1:5" x14ac:dyDescent="0.35">
      <c r="A55" s="7" t="s">
        <v>54</v>
      </c>
      <c r="B55" s="8" t="s">
        <v>255</v>
      </c>
      <c r="C55" s="10" t="s">
        <v>256</v>
      </c>
      <c r="D55" s="15" t="s">
        <v>524</v>
      </c>
      <c r="E55" s="10" t="s">
        <v>525</v>
      </c>
    </row>
    <row r="56" spans="1:5" x14ac:dyDescent="0.35">
      <c r="A56" s="7" t="s">
        <v>55</v>
      </c>
      <c r="B56" s="8" t="s">
        <v>257</v>
      </c>
      <c r="C56" s="10" t="s">
        <v>258</v>
      </c>
      <c r="D56" s="15" t="s">
        <v>526</v>
      </c>
      <c r="E56" s="10" t="s">
        <v>527</v>
      </c>
    </row>
    <row r="57" spans="1:5" x14ac:dyDescent="0.35">
      <c r="A57" s="7" t="s">
        <v>56</v>
      </c>
      <c r="B57" s="8" t="s">
        <v>259</v>
      </c>
      <c r="C57" s="10" t="s">
        <v>260</v>
      </c>
      <c r="D57" s="15" t="s">
        <v>528</v>
      </c>
      <c r="E57" s="10" t="s">
        <v>529</v>
      </c>
    </row>
    <row r="58" spans="1:5" x14ac:dyDescent="0.35">
      <c r="A58" s="7" t="s">
        <v>57</v>
      </c>
      <c r="B58" s="8" t="s">
        <v>261</v>
      </c>
      <c r="C58" s="10" t="s">
        <v>262</v>
      </c>
      <c r="D58" s="15" t="s">
        <v>530</v>
      </c>
      <c r="E58" s="10" t="s">
        <v>531</v>
      </c>
    </row>
    <row r="59" spans="1:5" x14ac:dyDescent="0.35">
      <c r="A59" s="7" t="s">
        <v>58</v>
      </c>
      <c r="B59" s="8" t="s">
        <v>263</v>
      </c>
      <c r="C59" s="10" t="s">
        <v>264</v>
      </c>
      <c r="D59" s="15" t="s">
        <v>532</v>
      </c>
      <c r="E59" s="10" t="s">
        <v>533</v>
      </c>
    </row>
    <row r="60" spans="1:5" x14ac:dyDescent="0.35">
      <c r="A60" s="7" t="s">
        <v>59</v>
      </c>
      <c r="B60" s="8" t="s">
        <v>265</v>
      </c>
      <c r="C60" s="10" t="s">
        <v>266</v>
      </c>
      <c r="D60" s="15" t="s">
        <v>534</v>
      </c>
      <c r="E60" s="10" t="s">
        <v>535</v>
      </c>
    </row>
    <row r="61" spans="1:5" x14ac:dyDescent="0.35">
      <c r="A61" s="7" t="s">
        <v>60</v>
      </c>
      <c r="B61" s="8" t="s">
        <v>267</v>
      </c>
      <c r="C61" s="10" t="s">
        <v>267</v>
      </c>
      <c r="D61" s="15" t="s">
        <v>536</v>
      </c>
      <c r="E61" s="10" t="s">
        <v>536</v>
      </c>
    </row>
    <row r="62" spans="1:5" x14ac:dyDescent="0.35">
      <c r="A62" s="7" t="s">
        <v>61</v>
      </c>
      <c r="B62" s="8" t="s">
        <v>268</v>
      </c>
      <c r="C62" s="10" t="s">
        <v>269</v>
      </c>
      <c r="D62" s="15" t="s">
        <v>537</v>
      </c>
      <c r="E62" s="10" t="s">
        <v>537</v>
      </c>
    </row>
    <row r="63" spans="1:5" x14ac:dyDescent="0.35">
      <c r="A63" s="7" t="s">
        <v>62</v>
      </c>
      <c r="B63" s="8" t="s">
        <v>270</v>
      </c>
      <c r="C63" s="10" t="s">
        <v>271</v>
      </c>
      <c r="D63" s="15" t="s">
        <v>538</v>
      </c>
      <c r="E63" s="10" t="s">
        <v>539</v>
      </c>
    </row>
    <row r="64" spans="1:5" x14ac:dyDescent="0.35">
      <c r="A64" s="7" t="s">
        <v>63</v>
      </c>
      <c r="B64" s="8" t="s">
        <v>272</v>
      </c>
      <c r="C64" s="10" t="s">
        <v>273</v>
      </c>
      <c r="D64" s="15" t="s">
        <v>540</v>
      </c>
      <c r="E64" s="10" t="s">
        <v>541</v>
      </c>
    </row>
    <row r="65" spans="1:5" x14ac:dyDescent="0.35">
      <c r="A65" s="7" t="s">
        <v>64</v>
      </c>
      <c r="B65" s="8" t="s">
        <v>274</v>
      </c>
      <c r="C65" s="10" t="s">
        <v>275</v>
      </c>
      <c r="D65" s="15" t="s">
        <v>542</v>
      </c>
      <c r="E65" s="10" t="s">
        <v>543</v>
      </c>
    </row>
    <row r="66" spans="1:5" x14ac:dyDescent="0.35">
      <c r="A66" s="7" t="s">
        <v>65</v>
      </c>
      <c r="B66" s="8" t="s">
        <v>276</v>
      </c>
      <c r="C66" s="10" t="s">
        <v>276</v>
      </c>
      <c r="D66" s="15" t="s">
        <v>544</v>
      </c>
      <c r="E66" s="10" t="s">
        <v>544</v>
      </c>
    </row>
    <row r="67" spans="1:5" x14ac:dyDescent="0.35">
      <c r="A67" s="7" t="s">
        <v>66</v>
      </c>
      <c r="B67" s="8" t="s">
        <v>277</v>
      </c>
      <c r="C67" s="10" t="s">
        <v>277</v>
      </c>
      <c r="D67" s="15" t="s">
        <v>545</v>
      </c>
      <c r="E67" s="10" t="s">
        <v>545</v>
      </c>
    </row>
    <row r="68" spans="1:5" x14ac:dyDescent="0.35">
      <c r="A68" s="7" t="s">
        <v>67</v>
      </c>
      <c r="B68" s="8" t="s">
        <v>278</v>
      </c>
      <c r="C68" s="10" t="s">
        <v>279</v>
      </c>
      <c r="D68" s="15" t="s">
        <v>546</v>
      </c>
      <c r="E68" s="10" t="s">
        <v>547</v>
      </c>
    </row>
    <row r="69" spans="1:5" x14ac:dyDescent="0.35">
      <c r="A69" s="7" t="s">
        <v>68</v>
      </c>
      <c r="B69" s="8" t="s">
        <v>280</v>
      </c>
      <c r="C69" s="10" t="s">
        <v>154</v>
      </c>
      <c r="D69" s="15" t="s">
        <v>423</v>
      </c>
      <c r="E69" s="10" t="s">
        <v>424</v>
      </c>
    </row>
    <row r="70" spans="1:5" x14ac:dyDescent="0.35">
      <c r="A70" s="7" t="s">
        <v>69</v>
      </c>
      <c r="B70" s="8" t="s">
        <v>281</v>
      </c>
      <c r="C70" s="10" t="s">
        <v>282</v>
      </c>
      <c r="D70" s="15" t="s">
        <v>548</v>
      </c>
      <c r="E70" s="10" t="s">
        <v>549</v>
      </c>
    </row>
    <row r="71" spans="1:5" x14ac:dyDescent="0.35">
      <c r="A71" s="7" t="s">
        <v>70</v>
      </c>
      <c r="B71" s="8" t="s">
        <v>283</v>
      </c>
      <c r="C71" s="10" t="s">
        <v>284</v>
      </c>
      <c r="D71" s="15" t="s">
        <v>550</v>
      </c>
      <c r="E71" s="10" t="s">
        <v>551</v>
      </c>
    </row>
    <row r="72" spans="1:5" x14ac:dyDescent="0.35">
      <c r="A72" s="7" t="s">
        <v>71</v>
      </c>
      <c r="B72" s="8" t="s">
        <v>285</v>
      </c>
      <c r="C72" s="10" t="s">
        <v>286</v>
      </c>
      <c r="D72" s="15" t="s">
        <v>552</v>
      </c>
      <c r="E72" s="10" t="s">
        <v>553</v>
      </c>
    </row>
    <row r="73" spans="1:5" x14ac:dyDescent="0.35">
      <c r="A73" s="7" t="s">
        <v>72</v>
      </c>
      <c r="B73" s="8" t="s">
        <v>287</v>
      </c>
      <c r="C73" s="10" t="s">
        <v>288</v>
      </c>
      <c r="D73" s="15" t="s">
        <v>554</v>
      </c>
      <c r="E73" s="10" t="s">
        <v>555</v>
      </c>
    </row>
    <row r="74" spans="1:5" x14ac:dyDescent="0.35">
      <c r="A74" s="7" t="s">
        <v>73</v>
      </c>
      <c r="B74" s="8" t="s">
        <v>289</v>
      </c>
      <c r="C74" s="10" t="s">
        <v>290</v>
      </c>
      <c r="D74" s="15" t="s">
        <v>556</v>
      </c>
      <c r="E74" s="10" t="s">
        <v>557</v>
      </c>
    </row>
    <row r="75" spans="1:5" x14ac:dyDescent="0.35">
      <c r="A75" s="7" t="s">
        <v>74</v>
      </c>
      <c r="B75" s="8" t="s">
        <v>291</v>
      </c>
      <c r="C75" s="10" t="s">
        <v>291</v>
      </c>
      <c r="D75" s="15" t="s">
        <v>558</v>
      </c>
      <c r="E75" s="10" t="s">
        <v>558</v>
      </c>
    </row>
    <row r="76" spans="1:5" x14ac:dyDescent="0.35">
      <c r="A76" s="7" t="s">
        <v>75</v>
      </c>
      <c r="B76" s="8" t="s">
        <v>292</v>
      </c>
      <c r="C76" s="10" t="s">
        <v>293</v>
      </c>
      <c r="D76" s="15" t="s">
        <v>559</v>
      </c>
      <c r="E76" s="10" t="s">
        <v>560</v>
      </c>
    </row>
    <row r="77" spans="1:5" x14ac:dyDescent="0.35">
      <c r="A77" s="7" t="s">
        <v>76</v>
      </c>
      <c r="B77" s="8" t="s">
        <v>294</v>
      </c>
      <c r="C77" s="10" t="s">
        <v>295</v>
      </c>
      <c r="D77" s="15" t="s">
        <v>561</v>
      </c>
      <c r="E77" s="10" t="s">
        <v>562</v>
      </c>
    </row>
    <row r="78" spans="1:5" x14ac:dyDescent="0.35">
      <c r="A78" s="7" t="s">
        <v>77</v>
      </c>
      <c r="B78" s="8" t="s">
        <v>296</v>
      </c>
      <c r="C78" s="10" t="s">
        <v>297</v>
      </c>
      <c r="D78" s="15" t="s">
        <v>563</v>
      </c>
      <c r="E78" s="10" t="s">
        <v>564</v>
      </c>
    </row>
    <row r="79" spans="1:5" x14ac:dyDescent="0.35">
      <c r="A79" s="7" t="s">
        <v>78</v>
      </c>
      <c r="B79" s="8" t="s">
        <v>298</v>
      </c>
      <c r="C79" s="10" t="s">
        <v>167</v>
      </c>
      <c r="D79" s="15" t="s">
        <v>565</v>
      </c>
      <c r="E79" s="10" t="s">
        <v>566</v>
      </c>
    </row>
    <row r="80" spans="1:5" x14ac:dyDescent="0.35">
      <c r="A80" s="7" t="s">
        <v>79</v>
      </c>
      <c r="B80" s="8" t="s">
        <v>299</v>
      </c>
      <c r="C80" s="10" t="s">
        <v>299</v>
      </c>
      <c r="D80" s="15" t="s">
        <v>567</v>
      </c>
      <c r="E80" s="10" t="s">
        <v>567</v>
      </c>
    </row>
    <row r="81" spans="1:5" x14ac:dyDescent="0.35">
      <c r="A81" s="7" t="s">
        <v>80</v>
      </c>
      <c r="B81" s="8" t="s">
        <v>300</v>
      </c>
      <c r="C81" s="10" t="s">
        <v>300</v>
      </c>
      <c r="D81" s="15" t="s">
        <v>568</v>
      </c>
      <c r="E81" s="10" t="s">
        <v>568</v>
      </c>
    </row>
    <row r="82" spans="1:5" x14ac:dyDescent="0.35">
      <c r="A82" s="7" t="s">
        <v>81</v>
      </c>
      <c r="B82" s="8" t="s">
        <v>301</v>
      </c>
      <c r="C82" s="10" t="s">
        <v>301</v>
      </c>
      <c r="D82" s="15" t="s">
        <v>569</v>
      </c>
      <c r="E82" s="10" t="s">
        <v>569</v>
      </c>
    </row>
    <row r="83" spans="1:5" x14ac:dyDescent="0.35">
      <c r="A83" s="7" t="s">
        <v>82</v>
      </c>
      <c r="B83" s="8" t="s">
        <v>302</v>
      </c>
      <c r="C83" s="10" t="s">
        <v>302</v>
      </c>
      <c r="D83" s="15" t="s">
        <v>570</v>
      </c>
      <c r="E83" s="10" t="s">
        <v>570</v>
      </c>
    </row>
    <row r="84" spans="1:5" x14ac:dyDescent="0.35">
      <c r="A84" s="7" t="s">
        <v>83</v>
      </c>
      <c r="B84" s="8" t="s">
        <v>303</v>
      </c>
      <c r="C84" s="10" t="s">
        <v>304</v>
      </c>
      <c r="D84" s="15" t="s">
        <v>571</v>
      </c>
      <c r="E84" s="10" t="s">
        <v>572</v>
      </c>
    </row>
    <row r="85" spans="1:5" x14ac:dyDescent="0.35">
      <c r="A85" s="7" t="s">
        <v>84</v>
      </c>
      <c r="B85" s="8" t="s">
        <v>305</v>
      </c>
      <c r="C85" s="10" t="s">
        <v>306</v>
      </c>
      <c r="D85" s="15" t="s">
        <v>573</v>
      </c>
      <c r="E85" s="10" t="s">
        <v>574</v>
      </c>
    </row>
    <row r="86" spans="1:5" x14ac:dyDescent="0.35">
      <c r="A86" s="7" t="s">
        <v>85</v>
      </c>
      <c r="B86" s="8" t="s">
        <v>307</v>
      </c>
      <c r="C86" s="10" t="s">
        <v>308</v>
      </c>
      <c r="D86" s="15" t="s">
        <v>575</v>
      </c>
      <c r="E86" s="10" t="s">
        <v>576</v>
      </c>
    </row>
    <row r="87" spans="1:5" x14ac:dyDescent="0.35">
      <c r="A87" s="7" t="s">
        <v>86</v>
      </c>
      <c r="B87" s="8" t="s">
        <v>309</v>
      </c>
      <c r="C87" s="10" t="s">
        <v>310</v>
      </c>
      <c r="D87" s="15" t="s">
        <v>577</v>
      </c>
      <c r="E87" s="10" t="s">
        <v>578</v>
      </c>
    </row>
    <row r="88" spans="1:5" x14ac:dyDescent="0.35">
      <c r="A88" s="7" t="s">
        <v>87</v>
      </c>
      <c r="B88" s="8" t="s">
        <v>311</v>
      </c>
      <c r="C88" s="10" t="s">
        <v>312</v>
      </c>
      <c r="D88" s="15" t="s">
        <v>579</v>
      </c>
      <c r="E88" s="10" t="s">
        <v>580</v>
      </c>
    </row>
    <row r="89" spans="1:5" x14ac:dyDescent="0.35">
      <c r="A89" s="7" t="s">
        <v>88</v>
      </c>
      <c r="B89" s="8" t="s">
        <v>313</v>
      </c>
      <c r="C89" s="10" t="s">
        <v>313</v>
      </c>
      <c r="D89" s="15" t="s">
        <v>581</v>
      </c>
      <c r="E89" s="10" t="s">
        <v>581</v>
      </c>
    </row>
    <row r="90" spans="1:5" x14ac:dyDescent="0.35">
      <c r="A90" s="7" t="s">
        <v>89</v>
      </c>
      <c r="B90" s="8" t="s">
        <v>314</v>
      </c>
      <c r="C90" s="10" t="s">
        <v>315</v>
      </c>
      <c r="D90" s="15" t="s">
        <v>582</v>
      </c>
      <c r="E90" s="10" t="s">
        <v>583</v>
      </c>
    </row>
    <row r="91" spans="1:5" x14ac:dyDescent="0.35">
      <c r="A91" s="7" t="s">
        <v>90</v>
      </c>
      <c r="B91" s="8" t="s">
        <v>316</v>
      </c>
      <c r="C91" s="10" t="s">
        <v>317</v>
      </c>
      <c r="D91" s="15" t="s">
        <v>584</v>
      </c>
      <c r="E91" s="10" t="s">
        <v>585</v>
      </c>
    </row>
    <row r="92" spans="1:5" x14ac:dyDescent="0.35">
      <c r="A92" s="7" t="s">
        <v>91</v>
      </c>
      <c r="B92" s="8" t="s">
        <v>318</v>
      </c>
      <c r="C92" s="10" t="s">
        <v>318</v>
      </c>
      <c r="D92" s="15" t="s">
        <v>586</v>
      </c>
      <c r="E92" s="10" t="s">
        <v>586</v>
      </c>
    </row>
    <row r="93" spans="1:5" x14ac:dyDescent="0.35">
      <c r="A93" s="7" t="s">
        <v>92</v>
      </c>
      <c r="B93" s="8" t="s">
        <v>319</v>
      </c>
      <c r="C93" s="10" t="s">
        <v>319</v>
      </c>
      <c r="D93" s="15" t="s">
        <v>587</v>
      </c>
      <c r="E93" s="10" t="s">
        <v>587</v>
      </c>
    </row>
    <row r="94" spans="1:5" x14ac:dyDescent="0.35">
      <c r="A94" s="7" t="s">
        <v>93</v>
      </c>
      <c r="B94" s="8" t="s">
        <v>320</v>
      </c>
      <c r="C94" s="10" t="s">
        <v>320</v>
      </c>
      <c r="D94" s="15" t="s">
        <v>588</v>
      </c>
      <c r="E94" s="10" t="s">
        <v>588</v>
      </c>
    </row>
    <row r="95" spans="1:5" x14ac:dyDescent="0.35">
      <c r="A95" s="7" t="s">
        <v>94</v>
      </c>
      <c r="B95" s="8" t="s">
        <v>321</v>
      </c>
      <c r="C95" s="10" t="s">
        <v>321</v>
      </c>
      <c r="D95" s="15" t="s">
        <v>589</v>
      </c>
      <c r="E95" s="10" t="s">
        <v>590</v>
      </c>
    </row>
    <row r="96" spans="1:5" x14ac:dyDescent="0.35">
      <c r="A96" s="7" t="s">
        <v>95</v>
      </c>
      <c r="B96" s="8" t="s">
        <v>322</v>
      </c>
      <c r="C96" s="10" t="s">
        <v>322</v>
      </c>
      <c r="D96" s="15" t="s">
        <v>591</v>
      </c>
      <c r="E96" s="10" t="s">
        <v>591</v>
      </c>
    </row>
    <row r="97" spans="1:5" x14ac:dyDescent="0.35">
      <c r="A97" s="7" t="s">
        <v>96</v>
      </c>
      <c r="B97" s="8" t="s">
        <v>323</v>
      </c>
      <c r="C97" s="10" t="s">
        <v>323</v>
      </c>
      <c r="D97" s="15" t="s">
        <v>592</v>
      </c>
      <c r="E97" s="10" t="s">
        <v>592</v>
      </c>
    </row>
    <row r="98" spans="1:5" x14ac:dyDescent="0.35">
      <c r="A98" s="7" t="s">
        <v>97</v>
      </c>
      <c r="B98" s="8" t="s">
        <v>324</v>
      </c>
      <c r="C98" s="10" t="s">
        <v>324</v>
      </c>
      <c r="D98" s="15" t="s">
        <v>593</v>
      </c>
      <c r="E98" s="10" t="s">
        <v>594</v>
      </c>
    </row>
    <row r="99" spans="1:5" x14ac:dyDescent="0.35">
      <c r="A99" s="7" t="s">
        <v>98</v>
      </c>
      <c r="B99" s="8" t="s">
        <v>325</v>
      </c>
      <c r="C99" s="10" t="s">
        <v>326</v>
      </c>
      <c r="D99" s="15" t="s">
        <v>595</v>
      </c>
      <c r="E99" s="10" t="s">
        <v>596</v>
      </c>
    </row>
    <row r="100" spans="1:5" x14ac:dyDescent="0.35">
      <c r="A100" s="7" t="s">
        <v>99</v>
      </c>
      <c r="B100" s="8" t="s">
        <v>327</v>
      </c>
      <c r="C100" s="10" t="s">
        <v>328</v>
      </c>
      <c r="D100" s="15" t="s">
        <v>597</v>
      </c>
      <c r="E100" s="10" t="s">
        <v>598</v>
      </c>
    </row>
    <row r="101" spans="1:5" x14ac:dyDescent="0.35">
      <c r="A101" s="7" t="s">
        <v>100</v>
      </c>
      <c r="B101" s="8" t="s">
        <v>329</v>
      </c>
      <c r="C101" s="10" t="s">
        <v>330</v>
      </c>
      <c r="D101" s="15" t="s">
        <v>599</v>
      </c>
      <c r="E101" s="10" t="s">
        <v>600</v>
      </c>
    </row>
    <row r="102" spans="1:5" x14ac:dyDescent="0.35">
      <c r="A102" s="7" t="s">
        <v>101</v>
      </c>
      <c r="B102" s="8" t="s">
        <v>331</v>
      </c>
      <c r="C102" s="10" t="s">
        <v>332</v>
      </c>
      <c r="D102" s="15" t="s">
        <v>601</v>
      </c>
      <c r="E102" s="10" t="s">
        <v>602</v>
      </c>
    </row>
    <row r="103" spans="1:5" x14ac:dyDescent="0.35">
      <c r="A103" s="7" t="s">
        <v>102</v>
      </c>
      <c r="B103" s="8" t="s">
        <v>333</v>
      </c>
      <c r="C103" s="10" t="s">
        <v>334</v>
      </c>
      <c r="D103" s="15" t="s">
        <v>603</v>
      </c>
      <c r="E103" s="10" t="s">
        <v>604</v>
      </c>
    </row>
    <row r="104" spans="1:5" x14ac:dyDescent="0.35">
      <c r="A104" s="7" t="s">
        <v>103</v>
      </c>
      <c r="B104" s="8" t="s">
        <v>335</v>
      </c>
      <c r="C104" s="10" t="s">
        <v>336</v>
      </c>
      <c r="D104" s="15" t="s">
        <v>605</v>
      </c>
      <c r="E104" s="10" t="s">
        <v>606</v>
      </c>
    </row>
    <row r="105" spans="1:5" x14ac:dyDescent="0.35">
      <c r="A105" s="7" t="s">
        <v>104</v>
      </c>
      <c r="B105" s="8" t="s">
        <v>337</v>
      </c>
      <c r="C105" s="10" t="s">
        <v>338</v>
      </c>
      <c r="D105" s="15" t="s">
        <v>607</v>
      </c>
      <c r="E105" s="10" t="s">
        <v>608</v>
      </c>
    </row>
    <row r="106" spans="1:5" x14ac:dyDescent="0.35">
      <c r="A106" s="7" t="s">
        <v>105</v>
      </c>
      <c r="B106" s="8" t="s">
        <v>339</v>
      </c>
      <c r="C106" s="10" t="s">
        <v>340</v>
      </c>
      <c r="D106" s="15" t="s">
        <v>609</v>
      </c>
      <c r="E106" s="10" t="s">
        <v>610</v>
      </c>
    </row>
    <row r="107" spans="1:5" x14ac:dyDescent="0.35">
      <c r="A107" s="7" t="s">
        <v>106</v>
      </c>
      <c r="B107" s="8" t="s">
        <v>341</v>
      </c>
      <c r="C107" s="10" t="s">
        <v>342</v>
      </c>
      <c r="D107" s="15" t="s">
        <v>611</v>
      </c>
      <c r="E107" s="10" t="s">
        <v>612</v>
      </c>
    </row>
    <row r="108" spans="1:5" x14ac:dyDescent="0.35">
      <c r="A108" s="7" t="s">
        <v>107</v>
      </c>
      <c r="B108" s="8" t="s">
        <v>343</v>
      </c>
      <c r="C108" s="10" t="s">
        <v>344</v>
      </c>
      <c r="D108" s="15" t="s">
        <v>613</v>
      </c>
      <c r="E108" s="10" t="s">
        <v>614</v>
      </c>
    </row>
    <row r="109" spans="1:5" x14ac:dyDescent="0.35">
      <c r="A109" s="7" t="s">
        <v>108</v>
      </c>
      <c r="B109" s="8" t="s">
        <v>345</v>
      </c>
      <c r="C109" s="10" t="s">
        <v>346</v>
      </c>
      <c r="D109" s="15" t="s">
        <v>615</v>
      </c>
      <c r="E109" s="10" t="s">
        <v>616</v>
      </c>
    </row>
    <row r="110" spans="1:5" x14ac:dyDescent="0.35">
      <c r="A110" s="7" t="s">
        <v>109</v>
      </c>
      <c r="B110" s="8" t="s">
        <v>347</v>
      </c>
      <c r="C110" s="10" t="s">
        <v>348</v>
      </c>
      <c r="D110" s="15" t="s">
        <v>617</v>
      </c>
      <c r="E110" s="10" t="s">
        <v>618</v>
      </c>
    </row>
    <row r="111" spans="1:5" x14ac:dyDescent="0.35">
      <c r="A111" s="7" t="s">
        <v>110</v>
      </c>
      <c r="B111" s="8" t="s">
        <v>349</v>
      </c>
      <c r="C111" s="10" t="s">
        <v>350</v>
      </c>
      <c r="D111" s="15" t="s">
        <v>619</v>
      </c>
      <c r="E111" s="10" t="s">
        <v>620</v>
      </c>
    </row>
    <row r="112" spans="1:5" x14ac:dyDescent="0.35">
      <c r="A112" s="7" t="s">
        <v>111</v>
      </c>
      <c r="B112" s="8" t="s">
        <v>351</v>
      </c>
      <c r="C112" s="10" t="s">
        <v>352</v>
      </c>
      <c r="D112" s="15" t="s">
        <v>621</v>
      </c>
      <c r="E112" s="10" t="s">
        <v>622</v>
      </c>
    </row>
    <row r="113" spans="1:5" x14ac:dyDescent="0.35">
      <c r="A113" s="7" t="s">
        <v>112</v>
      </c>
      <c r="B113" s="8" t="s">
        <v>353</v>
      </c>
      <c r="C113" s="10" t="s">
        <v>354</v>
      </c>
      <c r="D113" s="15" t="s">
        <v>623</v>
      </c>
      <c r="E113" s="10" t="s">
        <v>624</v>
      </c>
    </row>
    <row r="114" spans="1:5" x14ac:dyDescent="0.35">
      <c r="A114" s="7" t="s">
        <v>113</v>
      </c>
      <c r="B114" s="8" t="s">
        <v>355</v>
      </c>
      <c r="C114" s="10" t="s">
        <v>356</v>
      </c>
      <c r="D114" s="15" t="s">
        <v>625</v>
      </c>
      <c r="E114" s="10" t="s">
        <v>626</v>
      </c>
    </row>
    <row r="115" spans="1:5" x14ac:dyDescent="0.35">
      <c r="A115" s="7" t="s">
        <v>114</v>
      </c>
      <c r="B115" s="8" t="s">
        <v>357</v>
      </c>
      <c r="C115" s="10" t="s">
        <v>358</v>
      </c>
      <c r="D115" s="15" t="s">
        <v>627</v>
      </c>
      <c r="E115" s="10" t="s">
        <v>628</v>
      </c>
    </row>
    <row r="116" spans="1:5" x14ac:dyDescent="0.35">
      <c r="A116" s="7" t="s">
        <v>115</v>
      </c>
      <c r="B116" s="8" t="s">
        <v>359</v>
      </c>
      <c r="C116" s="10" t="s">
        <v>154</v>
      </c>
      <c r="D116" s="15" t="s">
        <v>629</v>
      </c>
      <c r="E116" s="10" t="s">
        <v>424</v>
      </c>
    </row>
    <row r="117" spans="1:5" x14ac:dyDescent="0.35">
      <c r="A117" s="7" t="s">
        <v>116</v>
      </c>
      <c r="B117" s="8" t="s">
        <v>360</v>
      </c>
      <c r="C117" s="10" t="s">
        <v>360</v>
      </c>
      <c r="D117" s="15" t="s">
        <v>630</v>
      </c>
      <c r="E117" s="10" t="s">
        <v>631</v>
      </c>
    </row>
    <row r="118" spans="1:5" x14ac:dyDescent="0.35">
      <c r="A118" s="7" t="s">
        <v>117</v>
      </c>
      <c r="B118" s="8" t="s">
        <v>291</v>
      </c>
      <c r="C118" s="10" t="s">
        <v>291</v>
      </c>
      <c r="D118" s="15" t="s">
        <v>632</v>
      </c>
      <c r="E118" s="10" t="s">
        <v>558</v>
      </c>
    </row>
    <row r="119" spans="1:5" x14ac:dyDescent="0.35">
      <c r="A119" s="7" t="s">
        <v>118</v>
      </c>
      <c r="B119" s="8" t="s">
        <v>292</v>
      </c>
      <c r="C119" s="10" t="s">
        <v>293</v>
      </c>
      <c r="D119" s="15" t="s">
        <v>559</v>
      </c>
      <c r="E119" s="10" t="s">
        <v>560</v>
      </c>
    </row>
    <row r="120" spans="1:5" x14ac:dyDescent="0.35">
      <c r="A120" s="7" t="s">
        <v>119</v>
      </c>
      <c r="B120" s="8" t="s">
        <v>361</v>
      </c>
      <c r="C120" s="10" t="s">
        <v>167</v>
      </c>
      <c r="D120" s="15" t="s">
        <v>633</v>
      </c>
      <c r="E120" s="10" t="s">
        <v>634</v>
      </c>
    </row>
    <row r="121" spans="1:5" x14ac:dyDescent="0.35">
      <c r="A121" s="7" t="s">
        <v>120</v>
      </c>
      <c r="B121" s="8" t="s">
        <v>362</v>
      </c>
      <c r="C121" s="10" t="s">
        <v>363</v>
      </c>
      <c r="D121" s="15" t="s">
        <v>635</v>
      </c>
      <c r="E121" s="10" t="s">
        <v>636</v>
      </c>
    </row>
    <row r="122" spans="1:5" x14ac:dyDescent="0.35">
      <c r="A122" s="7" t="s">
        <v>121</v>
      </c>
      <c r="B122" s="8" t="s">
        <v>364</v>
      </c>
      <c r="C122" s="10" t="s">
        <v>365</v>
      </c>
      <c r="D122" s="15" t="s">
        <v>637</v>
      </c>
      <c r="E122" s="10" t="s">
        <v>638</v>
      </c>
    </row>
    <row r="123" spans="1:5" x14ac:dyDescent="0.35">
      <c r="A123" s="7" t="s">
        <v>122</v>
      </c>
      <c r="B123" s="8" t="s">
        <v>366</v>
      </c>
      <c r="C123" s="10" t="s">
        <v>367</v>
      </c>
      <c r="D123" s="15" t="s">
        <v>639</v>
      </c>
      <c r="E123" s="10" t="s">
        <v>640</v>
      </c>
    </row>
    <row r="124" spans="1:5" x14ac:dyDescent="0.35">
      <c r="A124" s="7" t="s">
        <v>123</v>
      </c>
      <c r="B124" s="8" t="s">
        <v>368</v>
      </c>
      <c r="C124" s="10" t="s">
        <v>369</v>
      </c>
      <c r="D124" s="15" t="s">
        <v>641</v>
      </c>
      <c r="E124" s="10" t="s">
        <v>642</v>
      </c>
    </row>
    <row r="125" spans="1:5" x14ac:dyDescent="0.35">
      <c r="A125" s="7" t="s">
        <v>124</v>
      </c>
      <c r="B125" s="8" t="s">
        <v>370</v>
      </c>
      <c r="C125" s="10" t="s">
        <v>371</v>
      </c>
      <c r="D125" s="15" t="s">
        <v>643</v>
      </c>
      <c r="E125" s="10" t="s">
        <v>644</v>
      </c>
    </row>
    <row r="126" spans="1:5" x14ac:dyDescent="0.35">
      <c r="A126" s="7" t="s">
        <v>125</v>
      </c>
      <c r="B126" s="8" t="s">
        <v>372</v>
      </c>
      <c r="C126" s="10" t="s">
        <v>372</v>
      </c>
      <c r="D126" s="15" t="s">
        <v>645</v>
      </c>
      <c r="E126" s="10" t="s">
        <v>645</v>
      </c>
    </row>
    <row r="127" spans="1:5" x14ac:dyDescent="0.35">
      <c r="A127" s="7" t="s">
        <v>126</v>
      </c>
      <c r="B127" s="8" t="s">
        <v>373</v>
      </c>
      <c r="C127" s="10" t="s">
        <v>374</v>
      </c>
      <c r="D127" s="15" t="s">
        <v>646</v>
      </c>
      <c r="E127" s="10" t="s">
        <v>647</v>
      </c>
    </row>
    <row r="128" spans="1:5" x14ac:dyDescent="0.35">
      <c r="A128" s="7" t="s">
        <v>127</v>
      </c>
      <c r="B128" s="8" t="s">
        <v>375</v>
      </c>
      <c r="C128" s="10" t="s">
        <v>375</v>
      </c>
      <c r="D128" s="15" t="s">
        <v>648</v>
      </c>
      <c r="E128" s="10" t="s">
        <v>648</v>
      </c>
    </row>
    <row r="129" spans="1:5" x14ac:dyDescent="0.35">
      <c r="A129" s="7" t="s">
        <v>128</v>
      </c>
      <c r="B129" s="8" t="s">
        <v>376</v>
      </c>
      <c r="C129" s="10" t="s">
        <v>377</v>
      </c>
      <c r="D129" s="15" t="s">
        <v>649</v>
      </c>
      <c r="E129" s="10" t="s">
        <v>650</v>
      </c>
    </row>
    <row r="130" spans="1:5" x14ac:dyDescent="0.35">
      <c r="A130" s="7" t="s">
        <v>129</v>
      </c>
      <c r="B130" s="8" t="s">
        <v>378</v>
      </c>
      <c r="C130" s="10" t="s">
        <v>379</v>
      </c>
      <c r="D130" s="15" t="s">
        <v>651</v>
      </c>
      <c r="E130" s="10" t="s">
        <v>652</v>
      </c>
    </row>
    <row r="131" spans="1:5" x14ac:dyDescent="0.35">
      <c r="A131" s="7" t="s">
        <v>130</v>
      </c>
      <c r="B131" s="8" t="s">
        <v>380</v>
      </c>
      <c r="C131" s="10" t="s">
        <v>381</v>
      </c>
      <c r="D131" s="15" t="s">
        <v>653</v>
      </c>
      <c r="E131" s="10" t="s">
        <v>654</v>
      </c>
    </row>
    <row r="132" spans="1:5" x14ac:dyDescent="0.35">
      <c r="A132" s="7" t="s">
        <v>131</v>
      </c>
      <c r="B132" s="8" t="s">
        <v>382</v>
      </c>
      <c r="C132" s="10" t="s">
        <v>383</v>
      </c>
      <c r="D132" s="15" t="s">
        <v>655</v>
      </c>
      <c r="E132" s="10" t="s">
        <v>656</v>
      </c>
    </row>
    <row r="133" spans="1:5" x14ac:dyDescent="0.35">
      <c r="A133" s="7" t="s">
        <v>132</v>
      </c>
      <c r="B133" s="8" t="s">
        <v>384</v>
      </c>
      <c r="C133" s="10" t="s">
        <v>385</v>
      </c>
      <c r="D133" s="15" t="s">
        <v>657</v>
      </c>
      <c r="E133" s="10" t="s">
        <v>658</v>
      </c>
    </row>
    <row r="134" spans="1:5" x14ac:dyDescent="0.35">
      <c r="A134" s="7" t="s">
        <v>133</v>
      </c>
      <c r="B134" s="8" t="s">
        <v>386</v>
      </c>
      <c r="C134" s="10" t="s">
        <v>387</v>
      </c>
      <c r="D134" s="15" t="s">
        <v>659</v>
      </c>
      <c r="E134" s="10" t="s">
        <v>660</v>
      </c>
    </row>
    <row r="135" spans="1:5" x14ac:dyDescent="0.35">
      <c r="A135" s="7" t="s">
        <v>134</v>
      </c>
      <c r="B135" s="8" t="s">
        <v>388</v>
      </c>
      <c r="C135" s="10" t="s">
        <v>389</v>
      </c>
      <c r="D135" s="15" t="s">
        <v>661</v>
      </c>
      <c r="E135" s="10" t="s">
        <v>662</v>
      </c>
    </row>
    <row r="136" spans="1:5" x14ac:dyDescent="0.35">
      <c r="A136" s="7" t="s">
        <v>135</v>
      </c>
      <c r="B136" s="8" t="s">
        <v>390</v>
      </c>
      <c r="C136" s="10" t="s">
        <v>391</v>
      </c>
      <c r="D136" s="15" t="s">
        <v>663</v>
      </c>
      <c r="E136" s="10" t="s">
        <v>664</v>
      </c>
    </row>
    <row r="137" spans="1:5" x14ac:dyDescent="0.35">
      <c r="A137" s="7" t="s">
        <v>136</v>
      </c>
      <c r="B137" s="8" t="s">
        <v>392</v>
      </c>
      <c r="C137" s="10" t="s">
        <v>393</v>
      </c>
      <c r="D137" s="15" t="s">
        <v>665</v>
      </c>
      <c r="E137" s="10" t="s">
        <v>666</v>
      </c>
    </row>
    <row r="138" spans="1:5" x14ac:dyDescent="0.35">
      <c r="A138" s="7" t="s">
        <v>137</v>
      </c>
      <c r="B138" s="8" t="s">
        <v>394</v>
      </c>
      <c r="C138" s="10" t="s">
        <v>395</v>
      </c>
      <c r="D138" s="15" t="s">
        <v>667</v>
      </c>
      <c r="E138" s="10" t="s">
        <v>668</v>
      </c>
    </row>
    <row r="139" spans="1:5" x14ac:dyDescent="0.35">
      <c r="A139" s="7" t="s">
        <v>138</v>
      </c>
      <c r="B139" s="8" t="s">
        <v>396</v>
      </c>
      <c r="C139" s="10" t="s">
        <v>397</v>
      </c>
      <c r="D139" s="15" t="s">
        <v>669</v>
      </c>
      <c r="E139" s="10" t="s">
        <v>670</v>
      </c>
    </row>
    <row r="140" spans="1:5" x14ac:dyDescent="0.35">
      <c r="A140" s="7" t="s">
        <v>139</v>
      </c>
      <c r="B140" s="8" t="s">
        <v>398</v>
      </c>
      <c r="C140" s="10" t="s">
        <v>399</v>
      </c>
      <c r="D140" s="17" t="s">
        <v>671</v>
      </c>
      <c r="E140" s="10" t="s">
        <v>672</v>
      </c>
    </row>
    <row r="141" spans="1:5" x14ac:dyDescent="0.35">
      <c r="A141" s="7" t="s">
        <v>140</v>
      </c>
      <c r="B141" s="8" t="s">
        <v>400</v>
      </c>
      <c r="C141" s="10" t="s">
        <v>401</v>
      </c>
      <c r="D141" s="17" t="s">
        <v>673</v>
      </c>
      <c r="E141" s="10" t="s">
        <v>674</v>
      </c>
    </row>
    <row r="142" spans="1:5" x14ac:dyDescent="0.35">
      <c r="A142" s="7" t="s">
        <v>141</v>
      </c>
      <c r="B142" s="8" t="s">
        <v>402</v>
      </c>
      <c r="C142" s="10" t="s">
        <v>403</v>
      </c>
      <c r="D142" s="17" t="s">
        <v>675</v>
      </c>
      <c r="E142" s="10" t="s">
        <v>676</v>
      </c>
    </row>
    <row r="143" spans="1:5" x14ac:dyDescent="0.35">
      <c r="A143" s="7" t="s">
        <v>142</v>
      </c>
      <c r="B143" s="8" t="s">
        <v>404</v>
      </c>
      <c r="C143" s="10" t="s">
        <v>405</v>
      </c>
      <c r="D143" s="17" t="s">
        <v>677</v>
      </c>
      <c r="E143" s="10" t="s">
        <v>678</v>
      </c>
    </row>
    <row r="144" spans="1:5" x14ac:dyDescent="0.35">
      <c r="A144" s="7" t="s">
        <v>143</v>
      </c>
      <c r="B144" s="8" t="s">
        <v>406</v>
      </c>
      <c r="C144" s="10" t="s">
        <v>407</v>
      </c>
      <c r="D144" s="17" t="s">
        <v>679</v>
      </c>
      <c r="E144" s="10" t="s">
        <v>680</v>
      </c>
    </row>
    <row r="145" spans="1:5" x14ac:dyDescent="0.35">
      <c r="A145" s="7" t="s">
        <v>144</v>
      </c>
      <c r="B145" s="8" t="s">
        <v>408</v>
      </c>
      <c r="C145" s="10" t="s">
        <v>409</v>
      </c>
      <c r="D145" s="17" t="s">
        <v>681</v>
      </c>
      <c r="E145" s="10" t="s">
        <v>682</v>
      </c>
    </row>
    <row r="146" spans="1:5" x14ac:dyDescent="0.35">
      <c r="A146" s="7" t="s">
        <v>145</v>
      </c>
      <c r="B146" s="8" t="s">
        <v>410</v>
      </c>
      <c r="C146" s="10" t="s">
        <v>411</v>
      </c>
      <c r="D146" s="17" t="s">
        <v>683</v>
      </c>
      <c r="E146" s="10" t="s">
        <v>684</v>
      </c>
    </row>
    <row r="147" spans="1:5" x14ac:dyDescent="0.35">
      <c r="A147" s="7" t="s">
        <v>146</v>
      </c>
      <c r="B147" s="8" t="s">
        <v>412</v>
      </c>
      <c r="C147" s="10" t="s">
        <v>413</v>
      </c>
      <c r="D147" s="17" t="s">
        <v>685</v>
      </c>
      <c r="E147" s="10" t="s">
        <v>686</v>
      </c>
    </row>
    <row r="148" spans="1:5" x14ac:dyDescent="0.35">
      <c r="A148" s="7" t="s">
        <v>147</v>
      </c>
      <c r="B148" s="13" t="s">
        <v>414</v>
      </c>
      <c r="C148" s="10" t="s">
        <v>414</v>
      </c>
      <c r="D148" s="17" t="s">
        <v>687</v>
      </c>
      <c r="E148" s="10" t="s">
        <v>687</v>
      </c>
    </row>
    <row r="149" spans="1:5" x14ac:dyDescent="0.35">
      <c r="A149" s="7" t="s">
        <v>148</v>
      </c>
      <c r="B149" s="8" t="s">
        <v>415</v>
      </c>
      <c r="C149" s="10" t="s">
        <v>415</v>
      </c>
      <c r="D149" s="17" t="s">
        <v>688</v>
      </c>
      <c r="E149" s="10" t="s">
        <v>688</v>
      </c>
    </row>
    <row r="150" spans="1:5" x14ac:dyDescent="0.35">
      <c r="A150" s="7" t="s">
        <v>149</v>
      </c>
      <c r="B150" s="8" t="s">
        <v>416</v>
      </c>
      <c r="C150" s="10" t="s">
        <v>416</v>
      </c>
      <c r="D150" s="17" t="s">
        <v>689</v>
      </c>
      <c r="E150" s="10" t="s">
        <v>689</v>
      </c>
    </row>
    <row r="151" spans="1:5" x14ac:dyDescent="0.35">
      <c r="A151" s="7" t="s">
        <v>150</v>
      </c>
      <c r="B151" s="8" t="s">
        <v>417</v>
      </c>
      <c r="C151" s="10" t="s">
        <v>418</v>
      </c>
      <c r="D151" s="17" t="s">
        <v>690</v>
      </c>
      <c r="E151" s="10" t="s">
        <v>691</v>
      </c>
    </row>
    <row r="152" spans="1:5" x14ac:dyDescent="0.35">
      <c r="A152" s="19" t="s">
        <v>151</v>
      </c>
      <c r="B152" s="20" t="s">
        <v>419</v>
      </c>
      <c r="C152" s="21" t="s">
        <v>420</v>
      </c>
      <c r="D152" s="22" t="s">
        <v>692</v>
      </c>
      <c r="E152" s="21" t="s">
        <v>693</v>
      </c>
    </row>
  </sheetData>
  <conditionalFormatting sqref="B8:B9">
    <cfRule type="expression" dxfId="3" priority="7">
      <formula>MOD(ROW(),2)=0</formula>
    </cfRule>
  </conditionalFormatting>
  <conditionalFormatting sqref="C8:C9">
    <cfRule type="expression" dxfId="2" priority="5">
      <formula>MOD(ROW(),2)=0</formula>
    </cfRule>
  </conditionalFormatting>
  <conditionalFormatting sqref="D8:D9">
    <cfRule type="expression" dxfId="1" priority="3">
      <formula>MOD(ROW(),2)=0</formula>
    </cfRule>
  </conditionalFormatting>
  <conditionalFormatting sqref="E8:E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3982-E6B6-4C2D-A5A9-1F32A7F8FAA3}">
  <sheetPr>
    <tabColor rgb="FFFFC000"/>
  </sheetPr>
  <dimension ref="A1:M19"/>
  <sheetViews>
    <sheetView topLeftCell="G1" workbookViewId="0">
      <selection activeCell="G15" sqref="G15"/>
    </sheetView>
  </sheetViews>
  <sheetFormatPr baseColWidth="10" defaultRowHeight="14.5" x14ac:dyDescent="0.35"/>
  <cols>
    <col min="2" max="2" width="40.54296875" bestFit="1" customWidth="1"/>
    <col min="3" max="3" width="40.54296875" customWidth="1"/>
    <col min="4" max="4" width="42.36328125" bestFit="1" customWidth="1"/>
    <col min="5" max="5" width="17" customWidth="1"/>
    <col min="6" max="7" width="44.453125" bestFit="1" customWidth="1"/>
    <col min="8" max="8" width="62.08984375" customWidth="1"/>
    <col min="9" max="9" width="18.90625" bestFit="1" customWidth="1"/>
    <col min="10" max="10" width="15.6328125" customWidth="1"/>
    <col min="12" max="12" width="44.453125" bestFit="1" customWidth="1"/>
    <col min="15" max="15" width="13.54296875" bestFit="1" customWidth="1"/>
    <col min="16" max="16" width="13.453125" customWidth="1"/>
    <col min="17" max="17" width="18.90625" bestFit="1" customWidth="1"/>
    <col min="18" max="18" width="11.36328125" bestFit="1" customWidth="1"/>
  </cols>
  <sheetData>
    <row r="1" spans="1:13" ht="15" customHeight="1" thickBot="1" x14ac:dyDescent="0.4">
      <c r="A1" s="23" t="s">
        <v>772</v>
      </c>
      <c r="B1" s="23" t="s">
        <v>696</v>
      </c>
      <c r="C1" s="23" t="s">
        <v>697</v>
      </c>
      <c r="D1" s="23" t="s">
        <v>698</v>
      </c>
      <c r="E1" s="23" t="s">
        <v>699</v>
      </c>
      <c r="F1" s="23" t="s">
        <v>700</v>
      </c>
      <c r="G1" s="23" t="s">
        <v>701</v>
      </c>
      <c r="H1" s="23" t="s">
        <v>702</v>
      </c>
      <c r="I1" s="23" t="s">
        <v>703</v>
      </c>
      <c r="J1" s="23" t="s">
        <v>704</v>
      </c>
    </row>
    <row r="2" spans="1:13" ht="29" x14ac:dyDescent="0.35">
      <c r="A2" s="369" t="s">
        <v>705</v>
      </c>
      <c r="B2" s="373" t="s">
        <v>706</v>
      </c>
      <c r="C2" s="24" t="s">
        <v>707</v>
      </c>
      <c r="D2" s="388" t="s">
        <v>708</v>
      </c>
      <c r="E2" s="25">
        <v>380</v>
      </c>
      <c r="F2" s="26" t="s">
        <v>709</v>
      </c>
      <c r="G2" s="26" t="s">
        <v>709</v>
      </c>
      <c r="H2" s="26" t="s">
        <v>710</v>
      </c>
      <c r="I2" s="27">
        <v>10</v>
      </c>
      <c r="J2" s="28" t="s">
        <v>711</v>
      </c>
      <c r="L2" s="26" t="s">
        <v>709</v>
      </c>
      <c r="M2" s="28" t="s">
        <v>711</v>
      </c>
    </row>
    <row r="3" spans="1:13" ht="43.5" x14ac:dyDescent="0.35">
      <c r="A3" s="370"/>
      <c r="B3" s="373"/>
      <c r="C3" s="29" t="s">
        <v>707</v>
      </c>
      <c r="D3" s="389"/>
      <c r="E3" s="30">
        <v>380</v>
      </c>
      <c r="F3" s="31" t="s">
        <v>712</v>
      </c>
      <c r="G3" s="31" t="s">
        <v>712</v>
      </c>
      <c r="H3" s="31" t="s">
        <v>713</v>
      </c>
      <c r="I3" s="32">
        <v>20</v>
      </c>
      <c r="J3" s="33" t="s">
        <v>714</v>
      </c>
      <c r="L3" s="31" t="s">
        <v>712</v>
      </c>
      <c r="M3" s="33" t="s">
        <v>714</v>
      </c>
    </row>
    <row r="4" spans="1:13" ht="15" customHeight="1" x14ac:dyDescent="0.35">
      <c r="A4" s="370"/>
      <c r="B4" s="373"/>
      <c r="C4" s="29" t="s">
        <v>707</v>
      </c>
      <c r="D4" s="389"/>
      <c r="E4" s="30">
        <v>725</v>
      </c>
      <c r="F4" s="31" t="s">
        <v>715</v>
      </c>
      <c r="G4" s="31" t="s">
        <v>715</v>
      </c>
      <c r="H4" s="31" t="s">
        <v>716</v>
      </c>
      <c r="I4" s="32">
        <v>10</v>
      </c>
      <c r="J4" s="33" t="s">
        <v>717</v>
      </c>
      <c r="L4" s="31" t="s">
        <v>715</v>
      </c>
      <c r="M4" s="33" t="s">
        <v>717</v>
      </c>
    </row>
    <row r="5" spans="1:13" ht="15" thickBot="1" x14ac:dyDescent="0.4">
      <c r="A5" s="370"/>
      <c r="B5" s="373"/>
      <c r="C5" s="34" t="s">
        <v>707</v>
      </c>
      <c r="D5" s="390"/>
      <c r="E5" s="35">
        <v>551</v>
      </c>
      <c r="F5" s="36" t="s">
        <v>718</v>
      </c>
      <c r="G5" s="36" t="s">
        <v>718</v>
      </c>
      <c r="H5" s="36" t="s">
        <v>719</v>
      </c>
      <c r="I5" s="37">
        <v>10</v>
      </c>
      <c r="J5" s="38" t="s">
        <v>720</v>
      </c>
      <c r="L5" s="36" t="s">
        <v>718</v>
      </c>
      <c r="M5" s="38" t="s">
        <v>720</v>
      </c>
    </row>
    <row r="6" spans="1:13" ht="28.5" customHeight="1" x14ac:dyDescent="0.35">
      <c r="A6" s="370"/>
      <c r="B6" s="373"/>
      <c r="C6" s="24" t="s">
        <v>721</v>
      </c>
      <c r="D6" s="388" t="s">
        <v>722</v>
      </c>
      <c r="E6" s="25">
        <v>134</v>
      </c>
      <c r="F6" s="26" t="s">
        <v>723</v>
      </c>
      <c r="G6" s="26" t="s">
        <v>723</v>
      </c>
      <c r="H6" s="26" t="s">
        <v>724</v>
      </c>
      <c r="I6" s="27">
        <v>10</v>
      </c>
      <c r="J6" s="33" t="s">
        <v>725</v>
      </c>
      <c r="L6" s="26" t="s">
        <v>723</v>
      </c>
      <c r="M6" s="33" t="s">
        <v>725</v>
      </c>
    </row>
    <row r="7" spans="1:13" ht="44" thickBot="1" x14ac:dyDescent="0.4">
      <c r="A7" s="370"/>
      <c r="B7" s="387"/>
      <c r="C7" s="34" t="s">
        <v>721</v>
      </c>
      <c r="D7" s="389"/>
      <c r="E7" s="39">
        <v>134</v>
      </c>
      <c r="F7" s="40" t="s">
        <v>726</v>
      </c>
      <c r="G7" s="40" t="s">
        <v>726</v>
      </c>
      <c r="H7" s="40" t="s">
        <v>727</v>
      </c>
      <c r="I7" s="41" t="s">
        <v>728</v>
      </c>
      <c r="J7" s="38" t="s">
        <v>729</v>
      </c>
      <c r="L7" s="40" t="s">
        <v>726</v>
      </c>
      <c r="M7" s="38" t="s">
        <v>729</v>
      </c>
    </row>
    <row r="8" spans="1:13" ht="29" x14ac:dyDescent="0.35">
      <c r="A8" s="370"/>
      <c r="B8" s="391" t="s">
        <v>730</v>
      </c>
      <c r="C8" s="42" t="s">
        <v>721</v>
      </c>
      <c r="D8" s="393" t="s">
        <v>731</v>
      </c>
      <c r="E8" s="43">
        <v>725</v>
      </c>
      <c r="F8" s="44" t="s">
        <v>732</v>
      </c>
      <c r="G8" s="44" t="s">
        <v>732</v>
      </c>
      <c r="H8" s="44" t="s">
        <v>733</v>
      </c>
      <c r="I8" s="45">
        <v>10</v>
      </c>
      <c r="J8" s="33" t="s">
        <v>734</v>
      </c>
      <c r="L8" s="44" t="s">
        <v>732</v>
      </c>
      <c r="M8" s="33" t="s">
        <v>734</v>
      </c>
    </row>
    <row r="9" spans="1:13" ht="29.5" thickBot="1" x14ac:dyDescent="0.4">
      <c r="A9" s="371"/>
      <c r="B9" s="392"/>
      <c r="C9" s="46" t="s">
        <v>721</v>
      </c>
      <c r="D9" s="394"/>
      <c r="E9" s="47">
        <v>129</v>
      </c>
      <c r="F9" s="48" t="s">
        <v>735</v>
      </c>
      <c r="G9" s="48" t="s">
        <v>735</v>
      </c>
      <c r="H9" s="48" t="s">
        <v>736</v>
      </c>
      <c r="I9" s="49">
        <v>10</v>
      </c>
      <c r="J9" s="38" t="s">
        <v>737</v>
      </c>
      <c r="L9" s="48" t="s">
        <v>735</v>
      </c>
      <c r="M9" s="38" t="s">
        <v>737</v>
      </c>
    </row>
    <row r="10" spans="1:13" ht="29" x14ac:dyDescent="0.35">
      <c r="A10" s="369" t="s">
        <v>738</v>
      </c>
      <c r="B10" s="372" t="s">
        <v>739</v>
      </c>
      <c r="C10" s="50" t="s">
        <v>740</v>
      </c>
      <c r="D10" s="375" t="s">
        <v>741</v>
      </c>
      <c r="E10" s="25">
        <v>733</v>
      </c>
      <c r="F10" s="378" t="s">
        <v>741</v>
      </c>
      <c r="G10" s="26" t="s">
        <v>742</v>
      </c>
      <c r="H10" s="26" t="s">
        <v>743</v>
      </c>
      <c r="I10" s="51" t="s">
        <v>744</v>
      </c>
      <c r="J10" s="33" t="s">
        <v>745</v>
      </c>
      <c r="L10" s="26" t="s">
        <v>742</v>
      </c>
      <c r="M10" s="33" t="s">
        <v>745</v>
      </c>
    </row>
    <row r="11" spans="1:13" ht="29" x14ac:dyDescent="0.35">
      <c r="A11" s="370"/>
      <c r="B11" s="373"/>
      <c r="C11" s="52" t="s">
        <v>740</v>
      </c>
      <c r="D11" s="376"/>
      <c r="E11" s="30">
        <v>733</v>
      </c>
      <c r="F11" s="379"/>
      <c r="G11" s="31" t="s">
        <v>746</v>
      </c>
      <c r="H11" s="31" t="s">
        <v>747</v>
      </c>
      <c r="I11" s="32">
        <v>10</v>
      </c>
      <c r="J11" s="33" t="s">
        <v>748</v>
      </c>
      <c r="L11" s="31" t="s">
        <v>746</v>
      </c>
      <c r="M11" s="33" t="s">
        <v>748</v>
      </c>
    </row>
    <row r="12" spans="1:13" ht="44" thickBot="1" x14ac:dyDescent="0.4">
      <c r="A12" s="370"/>
      <c r="B12" s="373"/>
      <c r="C12" s="53" t="s">
        <v>740</v>
      </c>
      <c r="D12" s="377"/>
      <c r="E12" s="35">
        <v>733</v>
      </c>
      <c r="F12" s="380"/>
      <c r="G12" s="36" t="s">
        <v>749</v>
      </c>
      <c r="H12" s="36" t="s">
        <v>750</v>
      </c>
      <c r="I12" s="37">
        <v>20</v>
      </c>
      <c r="J12" s="38" t="s">
        <v>751</v>
      </c>
      <c r="L12" s="36" t="s">
        <v>749</v>
      </c>
      <c r="M12" s="38" t="s">
        <v>751</v>
      </c>
    </row>
    <row r="13" spans="1:13" ht="29" x14ac:dyDescent="0.35">
      <c r="A13" s="370"/>
      <c r="B13" s="373"/>
      <c r="C13" s="54" t="s">
        <v>752</v>
      </c>
      <c r="D13" s="381" t="s">
        <v>753</v>
      </c>
      <c r="E13" s="25">
        <v>380</v>
      </c>
      <c r="F13" s="384" t="s">
        <v>753</v>
      </c>
      <c r="G13" s="55" t="s">
        <v>754</v>
      </c>
      <c r="H13" s="26" t="s">
        <v>755</v>
      </c>
      <c r="I13" s="51" t="s">
        <v>756</v>
      </c>
      <c r="J13" s="56" t="s">
        <v>757</v>
      </c>
      <c r="K13" s="366" t="s">
        <v>771</v>
      </c>
      <c r="L13" s="55" t="s">
        <v>754</v>
      </c>
      <c r="M13" s="56" t="s">
        <v>757</v>
      </c>
    </row>
    <row r="14" spans="1:13" ht="29" x14ac:dyDescent="0.35">
      <c r="A14" s="370"/>
      <c r="B14" s="373"/>
      <c r="C14" s="52" t="s">
        <v>752</v>
      </c>
      <c r="D14" s="382"/>
      <c r="E14" s="30">
        <v>733</v>
      </c>
      <c r="F14" s="385"/>
      <c r="G14" s="57" t="s">
        <v>758</v>
      </c>
      <c r="H14" s="31" t="s">
        <v>759</v>
      </c>
      <c r="I14" s="58" t="s">
        <v>756</v>
      </c>
      <c r="J14" s="59" t="s">
        <v>760</v>
      </c>
      <c r="K14" s="367"/>
      <c r="L14" s="57" t="s">
        <v>758</v>
      </c>
      <c r="M14" s="59" t="s">
        <v>760</v>
      </c>
    </row>
    <row r="15" spans="1:13" ht="29" x14ac:dyDescent="0.35">
      <c r="A15" s="370"/>
      <c r="B15" s="373"/>
      <c r="C15" s="52" t="s">
        <v>752</v>
      </c>
      <c r="D15" s="382"/>
      <c r="E15" s="30">
        <v>529</v>
      </c>
      <c r="F15" s="385"/>
      <c r="G15" s="60" t="s">
        <v>761</v>
      </c>
      <c r="H15" s="31" t="s">
        <v>762</v>
      </c>
      <c r="I15" s="58" t="s">
        <v>756</v>
      </c>
      <c r="J15" s="61" t="s">
        <v>763</v>
      </c>
      <c r="K15" s="367"/>
      <c r="L15" s="60" t="s">
        <v>761</v>
      </c>
      <c r="M15" s="61" t="s">
        <v>763</v>
      </c>
    </row>
    <row r="16" spans="1:13" ht="25.5" customHeight="1" x14ac:dyDescent="0.35">
      <c r="A16" s="370"/>
      <c r="B16" s="373"/>
      <c r="C16" s="52" t="s">
        <v>752</v>
      </c>
      <c r="D16" s="382"/>
      <c r="E16" s="30">
        <v>551</v>
      </c>
      <c r="F16" s="385"/>
      <c r="G16" s="62" t="s">
        <v>764</v>
      </c>
      <c r="H16" s="31" t="s">
        <v>765</v>
      </c>
      <c r="I16" s="58" t="s">
        <v>756</v>
      </c>
      <c r="J16" s="63" t="s">
        <v>766</v>
      </c>
      <c r="K16" s="367"/>
      <c r="L16" s="62" t="s">
        <v>764</v>
      </c>
      <c r="M16" s="63" t="s">
        <v>766</v>
      </c>
    </row>
    <row r="17" spans="1:13" ht="36" customHeight="1" thickBot="1" x14ac:dyDescent="0.4">
      <c r="A17" s="371"/>
      <c r="B17" s="374"/>
      <c r="C17" s="53" t="s">
        <v>752</v>
      </c>
      <c r="D17" s="383"/>
      <c r="E17" s="35">
        <v>720</v>
      </c>
      <c r="F17" s="386"/>
      <c r="G17" s="64" t="s">
        <v>767</v>
      </c>
      <c r="H17" s="36" t="s">
        <v>768</v>
      </c>
      <c r="I17" s="65" t="s">
        <v>756</v>
      </c>
      <c r="J17" s="66" t="s">
        <v>769</v>
      </c>
      <c r="K17" s="368"/>
      <c r="L17" s="64" t="s">
        <v>767</v>
      </c>
      <c r="M17" s="66" t="s">
        <v>769</v>
      </c>
    </row>
    <row r="19" spans="1:13" x14ac:dyDescent="0.35">
      <c r="B19" s="67" t="s">
        <v>770</v>
      </c>
      <c r="C19" s="67"/>
    </row>
  </sheetData>
  <mergeCells count="13">
    <mergeCell ref="A2:A9"/>
    <mergeCell ref="B2:B7"/>
    <mergeCell ref="D2:D5"/>
    <mergeCell ref="D6:D7"/>
    <mergeCell ref="B8:B9"/>
    <mergeCell ref="D8:D9"/>
    <mergeCell ref="K13:K17"/>
    <mergeCell ref="A10:A17"/>
    <mergeCell ref="B10:B17"/>
    <mergeCell ref="D10:D12"/>
    <mergeCell ref="F10:F12"/>
    <mergeCell ref="D13:D17"/>
    <mergeCell ref="F13:F17"/>
  </mergeCells>
  <hyperlinks>
    <hyperlink ref="K13:K17" location="'Sub_ITEMS_LAB_TESTs TÜV'!A1" display="+Subitems" xr:uid="{DAC902A5-97A3-4361-9EBB-D5496D85977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12C8-1376-4B79-B512-214C1D45200E}">
  <sheetPr>
    <tabColor rgb="FF00B050"/>
  </sheetPr>
  <dimension ref="A1:B5"/>
  <sheetViews>
    <sheetView topLeftCell="A13" workbookViewId="0">
      <selection activeCell="C11" sqref="C11"/>
    </sheetView>
  </sheetViews>
  <sheetFormatPr baseColWidth="10" defaultRowHeight="14.5" x14ac:dyDescent="0.35"/>
  <cols>
    <col min="1" max="1" width="36.36328125" customWidth="1"/>
  </cols>
  <sheetData>
    <row r="1" spans="1:2" ht="16.5" x14ac:dyDescent="0.35">
      <c r="A1" s="4" t="s">
        <v>773</v>
      </c>
      <c r="B1" s="4" t="s">
        <v>0</v>
      </c>
    </row>
    <row r="2" spans="1:2" ht="16.5" x14ac:dyDescent="0.35">
      <c r="A2" s="5" t="s">
        <v>774</v>
      </c>
      <c r="B2" s="68">
        <v>15803173</v>
      </c>
    </row>
    <row r="3" spans="1:2" ht="16.5" x14ac:dyDescent="0.35">
      <c r="A3" s="5" t="s">
        <v>775</v>
      </c>
      <c r="B3" s="68">
        <v>15804173</v>
      </c>
    </row>
    <row r="4" spans="1:2" ht="16.5" x14ac:dyDescent="0.35">
      <c r="A4" s="5" t="s">
        <v>776</v>
      </c>
      <c r="B4" s="68">
        <v>15805173</v>
      </c>
    </row>
    <row r="5" spans="1:2" ht="16.5" x14ac:dyDescent="0.35">
      <c r="A5" s="5" t="s">
        <v>777</v>
      </c>
      <c r="B5" s="68">
        <v>15806173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5ED-CF77-4EB0-BBB5-75AE11D7B362}">
  <sheetPr>
    <tabColor rgb="FFFFFF00"/>
  </sheetPr>
  <dimension ref="A1:A4"/>
  <sheetViews>
    <sheetView workbookViewId="0">
      <selection activeCell="C13" sqref="C13"/>
    </sheetView>
  </sheetViews>
  <sheetFormatPr baseColWidth="10" defaultRowHeight="14.5" x14ac:dyDescent="0.35"/>
  <cols>
    <col min="1" max="1" width="30.36328125" bestFit="1" customWidth="1"/>
  </cols>
  <sheetData>
    <row r="1" spans="1:1" x14ac:dyDescent="0.35">
      <c r="A1" s="74" t="s">
        <v>797</v>
      </c>
    </row>
    <row r="2" spans="1:1" x14ac:dyDescent="0.35">
      <c r="A2" t="s">
        <v>860</v>
      </c>
    </row>
    <row r="3" spans="1:1" x14ac:dyDescent="0.35">
      <c r="A3" t="s">
        <v>861</v>
      </c>
    </row>
    <row r="4" spans="1:1" x14ac:dyDescent="0.35">
      <c r="A4" t="s">
        <v>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CD5C0-3B60-4886-A857-311D3011D7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Plan Cost</vt:lpstr>
      <vt:lpstr>OFERTA</vt:lpstr>
      <vt:lpstr>FACTURA M</vt:lpstr>
      <vt:lpstr>Material Cost (lab)</vt:lpstr>
      <vt:lpstr>Material Cost</vt:lpstr>
      <vt:lpstr>Cost Center</vt:lpstr>
      <vt:lpstr>Technicians</vt:lpstr>
      <vt:lpstr>OFERTA!Área_de_impresión</vt:lpstr>
      <vt:lpstr>'Plan Cost'!Área_de_impresión</vt:lpstr>
    </vt:vector>
  </TitlesOfParts>
  <Company>TUV SUD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Fernando</dc:creator>
  <cp:lastModifiedBy>Eva Vazquez</cp:lastModifiedBy>
  <cp:lastPrinted>2023-10-10T15:57:29Z</cp:lastPrinted>
  <dcterms:created xsi:type="dcterms:W3CDTF">2021-07-29T12:40:46Z</dcterms:created>
  <dcterms:modified xsi:type="dcterms:W3CDTF">2025-11-05T15:23:10Z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8094c8-480e-400b-91c4-c984b7e20814_Enabled">
    <vt:lpwstr>true</vt:lpwstr>
  </property>
  <property fmtid="{D5CDD505-2E9C-101B-9397-08002B2CF9AE}" pid="3" name="MSIP_Label_948094c8-480e-400b-91c4-c984b7e20814_SetDate">
    <vt:lpwstr>2021-07-29T12:40:47Z</vt:lpwstr>
  </property>
  <property fmtid="{D5CDD505-2E9C-101B-9397-08002B2CF9AE}" pid="4" name="MSIP_Label_948094c8-480e-400b-91c4-c984b7e20814_Method">
    <vt:lpwstr>Standard</vt:lpwstr>
  </property>
  <property fmtid="{D5CDD505-2E9C-101B-9397-08002B2CF9AE}" pid="5" name="MSIP_Label_948094c8-480e-400b-91c4-c984b7e20814_Name">
    <vt:lpwstr>948094c8-480e-400b-91c4-c984b7e20814</vt:lpwstr>
  </property>
  <property fmtid="{D5CDD505-2E9C-101B-9397-08002B2CF9AE}" pid="6" name="MSIP_Label_948094c8-480e-400b-91c4-c984b7e20814_SiteId">
    <vt:lpwstr>a1109567-0815-4e1f-88af-e23555482aaa</vt:lpwstr>
  </property>
  <property fmtid="{D5CDD505-2E9C-101B-9397-08002B2CF9AE}" pid="7" name="MSIP_Label_948094c8-480e-400b-91c4-c984b7e20814_ActionId">
    <vt:lpwstr>0a95c314-81e4-4bf8-ab12-242eec5384fb</vt:lpwstr>
  </property>
  <property fmtid="{D5CDD505-2E9C-101B-9397-08002B2CF9AE}" pid="8" name="MSIP_Label_948094c8-480e-400b-91c4-c984b7e20814_ContentBits">
    <vt:lpwstr>0</vt:lpwstr>
  </property>
</Properties>
</file>