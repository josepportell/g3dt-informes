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va\Desktop\"/>
    </mc:Choice>
  </mc:AlternateContent>
  <xr:revisionPtr revIDLastSave="0" documentId="13_ncr:1_{4F43ACC4-E21E-41F2-A782-4C0086987986}" xr6:coauthVersionLast="47" xr6:coauthVersionMax="47" xr10:uidLastSave="{00000000-0000-0000-0000-000000000000}"/>
  <bookViews>
    <workbookView xWindow="-108" yWindow="-108" windowWidth="23256" windowHeight="12456" activeTab="1" xr2:uid="{0E20FAB7-5FA7-4984-82FB-FBB49875EF05}"/>
  </bookViews>
  <sheets>
    <sheet name="Plan Cost" sheetId="1" r:id="rId1"/>
    <sheet name="OFERTA" sheetId="8" r:id="rId2"/>
    <sheet name="FACTURA M" sheetId="10" r:id="rId3"/>
    <sheet name="Material Cost (lab)" sheetId="2" r:id="rId4"/>
    <sheet name="Material Cost" sheetId="3" r:id="rId5"/>
    <sheet name="Cost Center" sheetId="4" r:id="rId6"/>
    <sheet name="Technicians" sheetId="5" r:id="rId7"/>
  </sheets>
  <definedNames>
    <definedName name="_xlnm._FilterDatabase" localSheetId="0" hidden="1">'Plan Cost'!$B$21:$H$21</definedName>
    <definedName name="_xlnm.Print_Area" localSheetId="1">OFERTA!$G$28:$I$47</definedName>
    <definedName name="_xlnm.Print_Area" localSheetId="0">'Plan Cost'!$A$1:$O$65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8" l="1"/>
  <c r="H54" i="8"/>
  <c r="H4" i="8" l="1"/>
  <c r="H21" i="8" l="1"/>
  <c r="K66" i="8"/>
  <c r="J66" i="8"/>
  <c r="H19" i="8" l="1"/>
  <c r="H16" i="8" l="1"/>
  <c r="I61" i="8" l="1"/>
  <c r="I62" i="8"/>
  <c r="H53" i="8" l="1"/>
  <c r="H55" i="8" s="1"/>
  <c r="H61" i="8" l="1"/>
  <c r="I66" i="8" l="1"/>
  <c r="H66" i="8"/>
  <c r="H6" i="8"/>
  <c r="H70" i="8" l="1"/>
  <c r="M21" i="1" s="1"/>
  <c r="G10" i="8"/>
  <c r="G11" i="8"/>
  <c r="H62" i="8" l="1"/>
  <c r="K70" i="10"/>
  <c r="K68" i="10"/>
  <c r="K65" i="10"/>
  <c r="H65" i="10"/>
  <c r="K69" i="10" s="1"/>
  <c r="I60" i="10"/>
  <c r="I69" i="10" s="1"/>
  <c r="L65" i="10"/>
  <c r="J65" i="10"/>
  <c r="I65" i="10"/>
  <c r="J71" i="10" s="1"/>
  <c r="I62" i="10"/>
  <c r="I61" i="10"/>
  <c r="D91" i="10"/>
  <c r="D90" i="10"/>
  <c r="D87" i="10"/>
  <c r="D86" i="10"/>
  <c r="D85" i="10"/>
  <c r="D84" i="10"/>
  <c r="D83" i="10"/>
  <c r="D82" i="10"/>
  <c r="D81" i="10"/>
  <c r="D80" i="10"/>
  <c r="D79" i="10"/>
  <c r="D78" i="10"/>
  <c r="D77" i="10"/>
  <c r="D76" i="10"/>
  <c r="D73" i="10"/>
  <c r="D72" i="10"/>
  <c r="D71" i="10"/>
  <c r="D63" i="10"/>
  <c r="D62" i="10"/>
  <c r="D59" i="10"/>
  <c r="D58" i="10"/>
  <c r="D60" i="10" s="1"/>
  <c r="D55" i="10"/>
  <c r="D56" i="10" s="1"/>
  <c r="D54" i="10"/>
  <c r="H53" i="10"/>
  <c r="H55" i="10" s="1"/>
  <c r="D51" i="10"/>
  <c r="D50" i="10"/>
  <c r="D52" i="10" s="1"/>
  <c r="D49" i="10"/>
  <c r="H48" i="10"/>
  <c r="D48" i="10"/>
  <c r="H47" i="10"/>
  <c r="H46" i="10"/>
  <c r="H45" i="10"/>
  <c r="H44" i="10"/>
  <c r="H43" i="10"/>
  <c r="H42" i="10"/>
  <c r="H41" i="10"/>
  <c r="D41" i="10"/>
  <c r="H40" i="10"/>
  <c r="D40" i="10"/>
  <c r="H39" i="10"/>
  <c r="H38" i="10"/>
  <c r="H37" i="10"/>
  <c r="D37" i="10"/>
  <c r="H36" i="10"/>
  <c r="D36" i="10"/>
  <c r="H35" i="10"/>
  <c r="D35" i="10"/>
  <c r="H34" i="10"/>
  <c r="D34" i="10"/>
  <c r="H33" i="10"/>
  <c r="D33" i="10"/>
  <c r="H32" i="10"/>
  <c r="D32" i="10"/>
  <c r="H31" i="10"/>
  <c r="D31" i="10"/>
  <c r="H30" i="10"/>
  <c r="D30" i="10"/>
  <c r="H29" i="10"/>
  <c r="D29" i="10"/>
  <c r="H28" i="10"/>
  <c r="D28" i="10"/>
  <c r="D27" i="10"/>
  <c r="D26" i="10"/>
  <c r="H23" i="10"/>
  <c r="D23" i="10"/>
  <c r="H22" i="10"/>
  <c r="D22" i="10"/>
  <c r="H21" i="10"/>
  <c r="D21" i="10"/>
  <c r="H20" i="10"/>
  <c r="D20" i="10"/>
  <c r="H19" i="10"/>
  <c r="H18" i="10"/>
  <c r="H17" i="10"/>
  <c r="D17" i="10"/>
  <c r="H16" i="10"/>
  <c r="D16" i="10"/>
  <c r="H15" i="10"/>
  <c r="D15" i="10"/>
  <c r="H14" i="10"/>
  <c r="D14" i="10"/>
  <c r="H13" i="10"/>
  <c r="C13" i="10"/>
  <c r="D13" i="10" s="1"/>
  <c r="H12" i="10"/>
  <c r="C12" i="10"/>
  <c r="D12" i="10" s="1"/>
  <c r="H11" i="10"/>
  <c r="C11" i="10"/>
  <c r="D11" i="10" s="1"/>
  <c r="H10" i="10"/>
  <c r="C10" i="10"/>
  <c r="D10" i="10" s="1"/>
  <c r="H9" i="10"/>
  <c r="D9" i="10"/>
  <c r="H8" i="10"/>
  <c r="D8" i="10"/>
  <c r="H7" i="10"/>
  <c r="D7" i="10"/>
  <c r="H6" i="10"/>
  <c r="D6" i="10"/>
  <c r="H5" i="10"/>
  <c r="D5" i="10"/>
  <c r="H4" i="10"/>
  <c r="D4" i="10"/>
  <c r="E42" i="1"/>
  <c r="J70" i="8"/>
  <c r="I63" i="8"/>
  <c r="I69" i="8" s="1"/>
  <c r="E57" i="1"/>
  <c r="H41" i="8"/>
  <c r="H42" i="8"/>
  <c r="H43" i="8"/>
  <c r="H44" i="8"/>
  <c r="H45" i="8"/>
  <c r="H46" i="8"/>
  <c r="H47" i="8"/>
  <c r="H48" i="8"/>
  <c r="H40" i="8"/>
  <c r="H29" i="8"/>
  <c r="H30" i="8"/>
  <c r="H31" i="8"/>
  <c r="H32" i="8"/>
  <c r="H33" i="8"/>
  <c r="H34" i="8"/>
  <c r="H35" i="8"/>
  <c r="H36" i="8"/>
  <c r="H37" i="8"/>
  <c r="H38" i="8"/>
  <c r="H39" i="8"/>
  <c r="H28" i="8"/>
  <c r="H20" i="8"/>
  <c r="H5" i="8"/>
  <c r="H7" i="8"/>
  <c r="H8" i="8"/>
  <c r="H9" i="8"/>
  <c r="H10" i="8"/>
  <c r="H11" i="8"/>
  <c r="H12" i="8"/>
  <c r="H13" i="8"/>
  <c r="H14" i="8"/>
  <c r="H15" i="8"/>
  <c r="H17" i="8"/>
  <c r="K71" i="10" l="1"/>
  <c r="H24" i="10"/>
  <c r="H49" i="10"/>
  <c r="L68" i="10" s="1"/>
  <c r="D88" i="10"/>
  <c r="D93" i="10" s="1"/>
  <c r="I70" i="10"/>
  <c r="I71" i="10"/>
  <c r="D74" i="10"/>
  <c r="D92" i="10"/>
  <c r="J69" i="10"/>
  <c r="J70" i="10"/>
  <c r="I68" i="10"/>
  <c r="D64" i="10"/>
  <c r="D65" i="10" s="1"/>
  <c r="H69" i="10" s="1"/>
  <c r="D24" i="10"/>
  <c r="D38" i="10"/>
  <c r="D42" i="10"/>
  <c r="J68" i="10"/>
  <c r="H24" i="8"/>
  <c r="E39" i="1"/>
  <c r="K71" i="8"/>
  <c r="K69" i="8"/>
  <c r="K72" i="8"/>
  <c r="K70" i="8"/>
  <c r="E43" i="1"/>
  <c r="J69" i="8"/>
  <c r="J71" i="8"/>
  <c r="J72" i="8"/>
  <c r="E56" i="1"/>
  <c r="I72" i="8"/>
  <c r="I71" i="8"/>
  <c r="I70" i="8"/>
  <c r="H49" i="8"/>
  <c r="E26" i="1" s="1"/>
  <c r="D18" i="10"/>
  <c r="D43" i="10"/>
  <c r="H68" i="10" s="1"/>
  <c r="L72" i="8" l="1"/>
  <c r="M72" i="8" s="1"/>
  <c r="H71" i="10"/>
  <c r="H70" i="10"/>
  <c r="M68" i="10"/>
  <c r="L69" i="10"/>
  <c r="M69" i="10" s="1"/>
  <c r="L71" i="10"/>
  <c r="M71" i="10" s="1"/>
  <c r="L70" i="10"/>
  <c r="M70" i="10" s="1"/>
  <c r="L71" i="8"/>
  <c r="M71" i="8" s="1"/>
  <c r="E25" i="1"/>
  <c r="L69" i="8"/>
  <c r="M69" i="8" s="1"/>
  <c r="E24" i="1"/>
  <c r="L70" i="8"/>
  <c r="M70" i="8" s="1"/>
  <c r="D55" i="8"/>
  <c r="D91" i="8"/>
  <c r="D90" i="8"/>
  <c r="D87" i="8"/>
  <c r="D86" i="8"/>
  <c r="D85" i="8"/>
  <c r="D84" i="8"/>
  <c r="D83" i="8"/>
  <c r="D82" i="8"/>
  <c r="D81" i="8"/>
  <c r="D80" i="8"/>
  <c r="D79" i="8"/>
  <c r="D78" i="8"/>
  <c r="D77" i="8"/>
  <c r="D76" i="8"/>
  <c r="D73" i="8"/>
  <c r="D72" i="8"/>
  <c r="D71" i="8"/>
  <c r="D41" i="8"/>
  <c r="D40" i="8"/>
  <c r="D27" i="8"/>
  <c r="D28" i="8"/>
  <c r="D29" i="8"/>
  <c r="D30" i="8"/>
  <c r="D31" i="8"/>
  <c r="D32" i="8"/>
  <c r="D33" i="8"/>
  <c r="D34" i="8"/>
  <c r="D35" i="8"/>
  <c r="D36" i="8"/>
  <c r="D37" i="8"/>
  <c r="D21" i="8"/>
  <c r="D22" i="8"/>
  <c r="D23" i="8"/>
  <c r="D63" i="8"/>
  <c r="D62" i="8"/>
  <c r="D59" i="8"/>
  <c r="D49" i="8"/>
  <c r="D50" i="8"/>
  <c r="D51" i="8"/>
  <c r="D48" i="8"/>
  <c r="D54" i="8"/>
  <c r="C11" i="8"/>
  <c r="C10" i="8"/>
  <c r="D52" i="8" l="1"/>
  <c r="D74" i="8"/>
  <c r="D42" i="8"/>
  <c r="D92" i="8"/>
  <c r="D56" i="8"/>
  <c r="D88" i="8"/>
  <c r="D64" i="8"/>
  <c r="D26" i="8"/>
  <c r="D38" i="8" s="1"/>
  <c r="D58" i="8" s="1"/>
  <c r="D60" i="8" s="1"/>
  <c r="D20" i="8"/>
  <c r="D24" i="8" s="1"/>
  <c r="D7" i="8"/>
  <c r="D8" i="8"/>
  <c r="D9" i="8"/>
  <c r="D10" i="8"/>
  <c r="D11" i="8"/>
  <c r="D12" i="8"/>
  <c r="D13" i="8"/>
  <c r="D14" i="8"/>
  <c r="D15" i="8"/>
  <c r="D16" i="8"/>
  <c r="D65" i="8" l="1"/>
  <c r="D93" i="8"/>
  <c r="H71" i="8" s="1"/>
  <c r="E47" i="1"/>
  <c r="E65" i="1"/>
  <c r="D17" i="8" l="1"/>
  <c r="D6" i="8"/>
  <c r="D5" i="8"/>
  <c r="D4" i="8"/>
  <c r="D18" i="8" l="1"/>
  <c r="D43" i="8" s="1"/>
  <c r="H72" i="8" l="1"/>
  <c r="H69" i="8"/>
  <c r="E52" i="1"/>
  <c r="E36" i="1" l="1"/>
  <c r="M15" i="1" s="1"/>
  <c r="M16" i="1" s="1"/>
  <c r="M19" i="1" l="1"/>
  <c r="M17" i="1"/>
  <c r="F65" i="1"/>
  <c r="M14" i="1" s="1"/>
  <c r="M18" i="1" l="1"/>
  <c r="M20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Herrera, Fernando</author>
  </authors>
  <commentList>
    <comment ref="J19" authorId="0" shapeId="0" xr:uid="{AC9F347C-36A2-4140-BE9E-BD1605047286}">
      <text>
        <r>
          <rPr>
            <sz val="9"/>
            <color indexed="81"/>
            <rFont val="Tahoma"/>
            <family val="2"/>
          </rPr>
          <t>Incluye subcontratación externa e interna</t>
        </r>
      </text>
    </comment>
  </commentList>
</comments>
</file>

<file path=xl/sharedStrings.xml><?xml version="1.0" encoding="utf-8"?>
<sst xmlns="http://schemas.openxmlformats.org/spreadsheetml/2006/main" count="1330" uniqueCount="993">
  <si>
    <t>PtCtr</t>
  </si>
  <si>
    <t>T13-380-00-G100001</t>
  </si>
  <si>
    <t>T13-380-00-G100002</t>
  </si>
  <si>
    <t>T13-380-00-G100003</t>
  </si>
  <si>
    <t>T13-380-00-G100004</t>
  </si>
  <si>
    <t>T13-380-00-G100005</t>
  </si>
  <si>
    <t>T13-380-00-G100006</t>
  </si>
  <si>
    <t>T13-380-00-G100007</t>
  </si>
  <si>
    <t>T13-380-00-G100008</t>
  </si>
  <si>
    <t>T13-380-00-G110001</t>
  </si>
  <si>
    <t>T13-380-00-G110002</t>
  </si>
  <si>
    <t>T13-380-00-G110003</t>
  </si>
  <si>
    <t>T13-380-00-G110004</t>
  </si>
  <si>
    <t>T13-380-00-G110005</t>
  </si>
  <si>
    <t>T13-380-00-G110006</t>
  </si>
  <si>
    <t>T13-380-00-G110007</t>
  </si>
  <si>
    <t>T13-380-00-G110008</t>
  </si>
  <si>
    <t>T13-380-00-G110009</t>
  </si>
  <si>
    <t>T13-380-00-G110010</t>
  </si>
  <si>
    <t>T13-380-00-G110011</t>
  </si>
  <si>
    <t>T13-380-00-G110012</t>
  </si>
  <si>
    <t>T13-380-00-G110013</t>
  </si>
  <si>
    <t>T13-380-00-G110014</t>
  </si>
  <si>
    <t>T13-380-00-G110015</t>
  </si>
  <si>
    <t>T13-380-00-G110016</t>
  </si>
  <si>
    <t>T13-380-00-G110017</t>
  </si>
  <si>
    <t>T13-380-00-G110018</t>
  </si>
  <si>
    <t>T13-380-00-G110019</t>
  </si>
  <si>
    <t>T13-380-00-G110020</t>
  </si>
  <si>
    <t>T13-380-00-G110021</t>
  </si>
  <si>
    <t>T13-380-00-G110022</t>
  </si>
  <si>
    <t>T13-380-00-G110023</t>
  </si>
  <si>
    <t>T13-380-00-G110024</t>
  </si>
  <si>
    <t>T13-380-00-G110025</t>
  </si>
  <si>
    <t>T13-380-00-G110026</t>
  </si>
  <si>
    <t>T13-380-00-G110027</t>
  </si>
  <si>
    <t>T13-380-00-G111001</t>
  </si>
  <si>
    <t>T13-380-00-G111002</t>
  </si>
  <si>
    <t>T13-380-00-G111003</t>
  </si>
  <si>
    <t>T13-380-00-G111004</t>
  </si>
  <si>
    <t>T13-380-00-G111005</t>
  </si>
  <si>
    <t>T13-380-00-G111006</t>
  </si>
  <si>
    <t>T13-380-00-G111007</t>
  </si>
  <si>
    <t>T13-380-00-G111008</t>
  </si>
  <si>
    <t>T13-380-00-G111009</t>
  </si>
  <si>
    <t>T13-380-00-G111010</t>
  </si>
  <si>
    <t>T13-380-00-G111011</t>
  </si>
  <si>
    <t>T13-380-00-G111012</t>
  </si>
  <si>
    <t>T13-380-00-G111013</t>
  </si>
  <si>
    <t>T13-380-00-G111014</t>
  </si>
  <si>
    <t>T13-380-00-G111015</t>
  </si>
  <si>
    <t>T13-380-00-G111016</t>
  </si>
  <si>
    <t>T13-380-00-G111017</t>
  </si>
  <si>
    <t>T13-380-00-G111018</t>
  </si>
  <si>
    <t>T13-380-00-G111101</t>
  </si>
  <si>
    <t>T13-380-00-G111102</t>
  </si>
  <si>
    <t>T13-380-00-G111103</t>
  </si>
  <si>
    <t>T13-380-00-G111104</t>
  </si>
  <si>
    <t>T13-380-00-G111105</t>
  </si>
  <si>
    <t>T13-380-00-G111106</t>
  </si>
  <si>
    <t>T13-380-00-G111107</t>
  </si>
  <si>
    <t>T13-380-00-G111108</t>
  </si>
  <si>
    <t>T13-380-00-G111109</t>
  </si>
  <si>
    <t>T13-380-00-G111110</t>
  </si>
  <si>
    <t>T13-380-00-G111111</t>
  </si>
  <si>
    <t>T13-380-00-G111112</t>
  </si>
  <si>
    <t>T13-380-00-G111113</t>
  </si>
  <si>
    <t>T13-380-00-G111114</t>
  </si>
  <si>
    <t>T13-733-00-G200001</t>
  </si>
  <si>
    <t>T13-733-00-G200002</t>
  </si>
  <si>
    <t>T13-733-00-G200003</t>
  </si>
  <si>
    <t>T13-733-00-G200004</t>
  </si>
  <si>
    <t>T13-733-00-G200005</t>
  </si>
  <si>
    <t>T13-733-00-G200006</t>
  </si>
  <si>
    <t>T13-733-00-G200007</t>
  </si>
  <si>
    <t>T13-733-00-G200008</t>
  </si>
  <si>
    <t>T13-733-00-G200009</t>
  </si>
  <si>
    <t>T13-733-00-G200010</t>
  </si>
  <si>
    <t>T13-733-00-G200011</t>
  </si>
  <si>
    <t>T13-733-00-G210001</t>
  </si>
  <si>
    <t>T13-733-00-G210002</t>
  </si>
  <si>
    <t>T13-733-00-G210003</t>
  </si>
  <si>
    <t>T13-733-00-G210004</t>
  </si>
  <si>
    <t>T13-733-00-G210005</t>
  </si>
  <si>
    <t>T13-733-00-G210006</t>
  </si>
  <si>
    <t>T13-733-00-G210007</t>
  </si>
  <si>
    <t>T13-733-00-G210008</t>
  </si>
  <si>
    <t>T13-733-00-G210009</t>
  </si>
  <si>
    <t>T13-733-00-G210010</t>
  </si>
  <si>
    <t>T13-733-00-G210011</t>
  </si>
  <si>
    <t>T13-733-00-G210012</t>
  </si>
  <si>
    <t>T13-733-00-G210013</t>
  </si>
  <si>
    <t>T13-733-00-G210014</t>
  </si>
  <si>
    <t>T13-733-00-G210015</t>
  </si>
  <si>
    <t>T13-733-00-G210016</t>
  </si>
  <si>
    <t>T13-733-00-G210017</t>
  </si>
  <si>
    <t>T13-733-00-G210018</t>
  </si>
  <si>
    <t>T13-733-00-G210019</t>
  </si>
  <si>
    <t>T13-733-00-G211001</t>
  </si>
  <si>
    <t>T13-733-00-G211002</t>
  </si>
  <si>
    <t>T13-733-00-G211003</t>
  </si>
  <si>
    <t>T13-733-00-G211004</t>
  </si>
  <si>
    <t>T13-733-00-G211005</t>
  </si>
  <si>
    <t>T13-733-00-G211006</t>
  </si>
  <si>
    <t>T13-733-00-G211007</t>
  </si>
  <si>
    <t>T13-733-00-G211008</t>
  </si>
  <si>
    <t>T13-733-00-G211009</t>
  </si>
  <si>
    <t>T13-733-00-G211010</t>
  </si>
  <si>
    <t>T13-733-00-G211101</t>
  </si>
  <si>
    <t>T13-733-00-G211102</t>
  </si>
  <si>
    <t>T13-733-00-G211103</t>
  </si>
  <si>
    <t>T13-733-00-G211104</t>
  </si>
  <si>
    <t>T13-733-00-G211105</t>
  </si>
  <si>
    <t>T13-733-00-G211106</t>
  </si>
  <si>
    <t>T13-733-00-G211107</t>
  </si>
  <si>
    <t>T13-529-00-G300001</t>
  </si>
  <si>
    <t>T13-529-00-G300002</t>
  </si>
  <si>
    <t>T13-529-00-G300003</t>
  </si>
  <si>
    <t>T13-529-00-G300004</t>
  </si>
  <si>
    <t>T13-529-00-G300005</t>
  </si>
  <si>
    <t>T13-529-00-G310001</t>
  </si>
  <si>
    <t>T13-529-00-G310002</t>
  </si>
  <si>
    <t>T13-529-00-G310003</t>
  </si>
  <si>
    <t>T13-529-00-G310004</t>
  </si>
  <si>
    <t>T13-529-00-G310005</t>
  </si>
  <si>
    <t>T13-529-00-G310006</t>
  </si>
  <si>
    <t>T13-529-00-G310007</t>
  </si>
  <si>
    <t>T13-529-00-G310008</t>
  </si>
  <si>
    <t>T13-529-00-G310009</t>
  </si>
  <si>
    <t>T13-529-00-G310010</t>
  </si>
  <si>
    <t>T13-529-00-G310011</t>
  </si>
  <si>
    <t>T13-529-00-G310012</t>
  </si>
  <si>
    <t>T13-529-00-G310013</t>
  </si>
  <si>
    <t>T13-529-00-G310014</t>
  </si>
  <si>
    <t>T13-529-00-G310015</t>
  </si>
  <si>
    <t>T13-529-00-G310016</t>
  </si>
  <si>
    <t>T13-529-00-G310017</t>
  </si>
  <si>
    <t>T13-529-00-G310018</t>
  </si>
  <si>
    <t>T13-529-00-G310019</t>
  </si>
  <si>
    <t>T13-529-00-G310020</t>
  </si>
  <si>
    <t>T13-529-00-G310021</t>
  </si>
  <si>
    <t>T13-529-00-G310022</t>
  </si>
  <si>
    <t>T13-529-00-G310023</t>
  </si>
  <si>
    <t>T13-529-00-G310024</t>
  </si>
  <si>
    <t>T13-551-00-G400001</t>
  </si>
  <si>
    <t>T13-551-00-G400002</t>
  </si>
  <si>
    <t>T13-551-00-G400003</t>
  </si>
  <si>
    <t>T13-720-00-G411007</t>
  </si>
  <si>
    <t>T13-720-00-G500001</t>
  </si>
  <si>
    <t>T13-720-00-G500002</t>
  </si>
  <si>
    <t>T13-720-00-G500003</t>
  </si>
  <si>
    <t>T13-720-00-G500004</t>
  </si>
  <si>
    <t>material cost (lab)</t>
  </si>
  <si>
    <t>Apertura y descripción de muestra</t>
  </si>
  <si>
    <t>Apertura y descripción de muestra de suelo, roca y/o áridos</t>
  </si>
  <si>
    <t>Preparación muestras ensayos de suelos</t>
  </si>
  <si>
    <t>Preparación de muestras para ensayos de suelos UNE 103-100-95</t>
  </si>
  <si>
    <t>Remoldeo de pastilla para ensayo</t>
  </si>
  <si>
    <t>Remoldeo pastilla ensayo edométrico o CD o colapso o hinchamiento libre</t>
  </si>
  <si>
    <t>Remoldeo de una probeta para ensayo</t>
  </si>
  <si>
    <t>Remoldeo probeta para rotura a CS o triaxial o permeabilidad de 1,5 pulgadas</t>
  </si>
  <si>
    <t>Tallado muestra recibida en bloque</t>
  </si>
  <si>
    <t>Tallado de muestra recibida en bloque parafinado</t>
  </si>
  <si>
    <t>Tallado de muestra de testigo de sondeo</t>
  </si>
  <si>
    <t>Preparación fracciones-mezcla materiales</t>
  </si>
  <si>
    <t>Preparación fracciones-mezcla materiales granulares para ensayo de compactación</t>
  </si>
  <si>
    <t>Molido muestra salida de tamiz 0,080 UNE</t>
  </si>
  <si>
    <t>Molido de muestra con 60 g de salida de tamiz 0,080 UNE</t>
  </si>
  <si>
    <t>Determinación humedad secado estufa</t>
  </si>
  <si>
    <t>Determinación de la humedad de un suelo mediante secado en estufa UNE 103-300-93</t>
  </si>
  <si>
    <t>Determinación de la densidad de un suelo</t>
  </si>
  <si>
    <t>Determinación densidad suelo. Método de la balanza hidrostática UNE 103-301-94</t>
  </si>
  <si>
    <t>Determinación Límites de Atterberg</t>
  </si>
  <si>
    <t xml:space="preserve">Determinación Límites de Atterberg UNE 103-103-94 y 103-104-93 </t>
  </si>
  <si>
    <t>Comprobación de no plasticidad</t>
  </si>
  <si>
    <t xml:space="preserve">Comprobación de  no plasticidad UNE 103-104-93. NLT 106 </t>
  </si>
  <si>
    <t>Contenido de yeso en suelos (NLT-115/99)</t>
  </si>
  <si>
    <t>Análisis granulométrico suelos tamizado</t>
  </si>
  <si>
    <t>Análisis granulométrico de suelos por tamizado UNE 103-101-95</t>
  </si>
  <si>
    <t>Análisis granulométrico tamizado zahorra</t>
  </si>
  <si>
    <t>Análisis granulométrico por tamizado en zahorras UNE 103101. NLT 104</t>
  </si>
  <si>
    <t>Análisis granulométrico gruesos y finos</t>
  </si>
  <si>
    <t>Análisis granulométrico por tamizado  de gruesos y finos UNE 103101. NLT 104</t>
  </si>
  <si>
    <t>Análisis granulométrico sedimentación</t>
  </si>
  <si>
    <t>Análisis granulométrico por sedimentación UNE 103102</t>
  </si>
  <si>
    <t>Material que pasa por el tamiz 0,080</t>
  </si>
  <si>
    <t>Material que pasa por el tamiz 0,080 UNE. UNE-7135</t>
  </si>
  <si>
    <t>Ensayo dispersabilidad - PIN HOLE</t>
  </si>
  <si>
    <t>Ensayo de dispersabilidad por tubificación (PIN HOLE) NLT-207</t>
  </si>
  <si>
    <t>Valoración arcillas azul de metileno</t>
  </si>
  <si>
    <t>Valoración arcillas en materiales finos por medio del azul de metileno UNE 83130</t>
  </si>
  <si>
    <t>Determinación del Equivalente de arena</t>
  </si>
  <si>
    <t>Determinación del Equivalente de una arena UNE 103109. NLT 113</t>
  </si>
  <si>
    <t>Determinación peso específico</t>
  </si>
  <si>
    <t>Determinación densidad relativa partículas suelo, peso específico UNE 103-302-94</t>
  </si>
  <si>
    <t>Determinación porosidad de un terreno</t>
  </si>
  <si>
    <t>Determinación de la porosidad de un terreno UNE 7045</t>
  </si>
  <si>
    <t>Ensayo de colapso en suelos NLT 254/99</t>
  </si>
  <si>
    <t>Determinación expansividad suelo Lambe</t>
  </si>
  <si>
    <t>Determinación de la expansividad de un suelo en aparato Lambe. UNE 103-600-96</t>
  </si>
  <si>
    <t>Permeabilidad carga constante granulares</t>
  </si>
  <si>
    <t>Permeabilidad bajo carga constante en suelos granulares UNE 103403</t>
  </si>
  <si>
    <t>Permeabilidad aparato triaxial</t>
  </si>
  <si>
    <t>Permeabilidad con presión en cola en célula de 1,5 pulgadas (aparato triaxial)</t>
  </si>
  <si>
    <t>Compactación probeta mini Haward</t>
  </si>
  <si>
    <t>Compactación de probeta en molde mini Haward</t>
  </si>
  <si>
    <t>Ensayo compactación. Proctor Normal</t>
  </si>
  <si>
    <t>Ensayo de compactación. Proctor Normal UNE 103-500-94</t>
  </si>
  <si>
    <t>Ensayo compactación. Proctor Modificado</t>
  </si>
  <si>
    <t>Ensayo de compactación. Proctor Modificado UNE 103-501-94</t>
  </si>
  <si>
    <t>Índice C.B.R. proctor Normal</t>
  </si>
  <si>
    <t>Indice C.B.R. de un suelo con energía proctor Normal UNE 103-502-95</t>
  </si>
  <si>
    <t>Índice C.B.R. proctor Modificado</t>
  </si>
  <si>
    <t>Indice C.B.R. de un suelo con energía proctor Modificado UNE 103-502-95</t>
  </si>
  <si>
    <t>Densidad mínima de una arena</t>
  </si>
  <si>
    <t xml:space="preserve">Densidad mínima de una arena  UNE 103105. NLT 204 </t>
  </si>
  <si>
    <t>Densidad máxima arena método apisonado</t>
  </si>
  <si>
    <t xml:space="preserve">Densidad máxima de una arena por el método del apisonado UNE 103105. NLT 204 </t>
  </si>
  <si>
    <t>Clasificación suelo USCS-HRB-ASTM</t>
  </si>
  <si>
    <t>Clasificación de un suelo según USCS-HRB. ASTM-D 2487/00</t>
  </si>
  <si>
    <t>Ensayo rotura compresión simple</t>
  </si>
  <si>
    <t>Ensayo de rotura a compresión simple en probetas de suelo UNE 103-400-93</t>
  </si>
  <si>
    <t>CD Sin consolidar y sin drenaje (UU)</t>
  </si>
  <si>
    <t>Corte directo . Sin consolidar y sin drenaje (UU). UNE 103-401-98</t>
  </si>
  <si>
    <t>CD Consolidado y sin drenaje (CU)</t>
  </si>
  <si>
    <t>Corte directo . Sin consolidar y sin drenaje (CU). UNE 103-401-98</t>
  </si>
  <si>
    <t>CD Consolidado y drenado (CD)</t>
  </si>
  <si>
    <t>Corte directo . Sin consolidar y sin drenaje (CD). UNE 103-401-98</t>
  </si>
  <si>
    <t>Edómetro UNE 103-405-94</t>
  </si>
  <si>
    <t>Ensayo de consolidación unidimensional de un suelo en edómetro UNE 103-405-94</t>
  </si>
  <si>
    <t>Consolidación en edómetro</t>
  </si>
  <si>
    <t>Edómetro UNE 103405 (8 escalones de carga y 3 de  descarga)</t>
  </si>
  <si>
    <t>Escalón carga adicional edómetro</t>
  </si>
  <si>
    <t>Escalón de carga adicional en ensayo edométrico</t>
  </si>
  <si>
    <t>Espera consolidación escalón/día</t>
  </si>
  <si>
    <t>Espera para consolidación secundaria por cada escalón / día</t>
  </si>
  <si>
    <t>Ensayo edométrico célula de Rowe (10")</t>
  </si>
  <si>
    <t>Ensayo edométrico en célula de Rowe (10")</t>
  </si>
  <si>
    <t>Hinchamiento libre en edómetro</t>
  </si>
  <si>
    <t>Ensayo de hinchamiento libre de un suelo en edómetro UNE 103-601-96</t>
  </si>
  <si>
    <t>Presión hinchamiento suelo edómetro</t>
  </si>
  <si>
    <t>Presión de hinchamiento de un suelo en edómetro UNE 103-602-96</t>
  </si>
  <si>
    <t>Parámetros resistentes triaxial UU</t>
  </si>
  <si>
    <t>Triaxial UNE 103-402-98 (UU sin consolidación previa y rotura sin drenaje)</t>
  </si>
  <si>
    <t>Triaxial UU</t>
  </si>
  <si>
    <t>Triaxial UU - 3 probetas UNE 103402</t>
  </si>
  <si>
    <t>Parámetros resistentes triaxial CU</t>
  </si>
  <si>
    <t>Triaxial CU - 3 probetas UNE 103-402-98</t>
  </si>
  <si>
    <t>Triaxial CU</t>
  </si>
  <si>
    <t>Triaxial CU - 3 probetas UNE 103402 medida de presiones Intersticiales</t>
  </si>
  <si>
    <t>Parámetros resistentes triaxial CD</t>
  </si>
  <si>
    <t>Triaxial CD - 3 probetas UNE 103-402-98</t>
  </si>
  <si>
    <t>Ensayo consolidación carga constante</t>
  </si>
  <si>
    <t>Ensayo de consolidación bajo carga constante</t>
  </si>
  <si>
    <t>Penetrometro de bolsillo</t>
  </si>
  <si>
    <t>Carbonatos suelos (método Bernard)</t>
  </si>
  <si>
    <t>Carbonatos en los suelos (método del calcímetro de Bernard) UNE 103-200-93</t>
  </si>
  <si>
    <t>Cualitativa de carbonatos</t>
  </si>
  <si>
    <t>Determinación cualitativa de carbonatos</t>
  </si>
  <si>
    <t xml:space="preserve">Materia orgánica oxidable UNE103-204-93 </t>
  </si>
  <si>
    <t xml:space="preserve">Materia orgánica oxidable suelo método permanganato potásico UNE 103-204-93 </t>
  </si>
  <si>
    <t>Cualitativa sulfatos solubles</t>
  </si>
  <si>
    <t>Contenido cualitativo sulfatos solubles de un suelo UNE 103-202-95</t>
  </si>
  <si>
    <t>Sulfatos en suelos ANEJO 5 EHE 98</t>
  </si>
  <si>
    <t>Determinación del contenido de sulfatos en suelos ANEJO 5 EHE 98</t>
  </si>
  <si>
    <t>Sulfatos solubles en ácido UNE EN 1744-1</t>
  </si>
  <si>
    <t>Determinación del contenido de sulfatos solubles en ácido UNE EN 1744-1</t>
  </si>
  <si>
    <t>Determinación de pH en suelos</t>
  </si>
  <si>
    <t>Determinación sales solubles. NLT 114/99</t>
  </si>
  <si>
    <t>Determinación de sales solubles. NLT 114/99</t>
  </si>
  <si>
    <t>Acidez Baumann-Gully ANEJO 5 EHE 98</t>
  </si>
  <si>
    <t>Determinación de la Acidez Baumann-Gully ANEJO 5 EHE 98</t>
  </si>
  <si>
    <t>Materia orgánica, agua oxigenada</t>
  </si>
  <si>
    <t>Contenido en materia orgánica, método del agua oxigenada UNE 7368/77</t>
  </si>
  <si>
    <t>Materia orgánica, método del dicromato</t>
  </si>
  <si>
    <t>Contenido en materia orgánica, método del dicromato NLT 118/59 y UNE 103-204-93</t>
  </si>
  <si>
    <t>Determinación de cloruros en suelos</t>
  </si>
  <si>
    <t>Determinación de sulfuros</t>
  </si>
  <si>
    <t>Agresividad suelo Anejo 5 de la EHE</t>
  </si>
  <si>
    <t>Determinación de la agresividad de un suelo según el Anejo 5 de la EHE</t>
  </si>
  <si>
    <t>Apertura y descripción muestra</t>
  </si>
  <si>
    <t>Preparación general muestras</t>
  </si>
  <si>
    <t>Preparación general de muestras para ensayos</t>
  </si>
  <si>
    <t>Preparación probeta</t>
  </si>
  <si>
    <t>Preparación probeta para ensayos a CS a partir de testigos (tallado)</t>
  </si>
  <si>
    <t>Preparación probeta brasileño</t>
  </si>
  <si>
    <t>Preparación de una probeta para ensayo brasileño a partir de testigos</t>
  </si>
  <si>
    <t>Preparación muestra corte directo roca</t>
  </si>
  <si>
    <t>Preparación de muestra para ensayo de corte directo (hormigonado)</t>
  </si>
  <si>
    <t>Tallado probeta cúbica 7 x 7 x 7 cm</t>
  </si>
  <si>
    <t>Tallado de probeta cúbica 7 x 7 x 7 cms. a partir de bloque</t>
  </si>
  <si>
    <t>Machaqueo de muestras &lt; 25 Kg</t>
  </si>
  <si>
    <t>Machaqueo muestras entre 25 Kg  y 50 Kg</t>
  </si>
  <si>
    <t>Machaqueo de muestras entre 25 Kg  y 50 Kg</t>
  </si>
  <si>
    <t>Extracción testigos 48 mm. Bloques</t>
  </si>
  <si>
    <t>Extracción testigos de 40 cm longitud y 48 mm diámetro a partir de bloques</t>
  </si>
  <si>
    <t>Extracción testigos 48 mm. Testigos</t>
  </si>
  <si>
    <t>Extracción testigos de 40 cm longitud y 48 mm diámetro a partir de testigos</t>
  </si>
  <si>
    <t>Molido muestra salida tamiz 0,080</t>
  </si>
  <si>
    <t>Humedad natural UNE 7328; NLT 102/72</t>
  </si>
  <si>
    <t>Densidad real</t>
  </si>
  <si>
    <t>Densidad aparente NLT 156/72</t>
  </si>
  <si>
    <t>Determinación de la porosidad</t>
  </si>
  <si>
    <t>Coeficiente desgaste Los Angeles</t>
  </si>
  <si>
    <t>Determinación del coeficiente de desgaste Los Angeles. UNE 83116. NLT 149</t>
  </si>
  <si>
    <t>Estudio petrográfico lámina delgada</t>
  </si>
  <si>
    <t>Estudio petrográfico mediante lámina delgada</t>
  </si>
  <si>
    <t>Estudio petrográfico recuento mineral</t>
  </si>
  <si>
    <t>Estudio petrográfico con recuento mineralógico</t>
  </si>
  <si>
    <t>Determinación minerales metálicos</t>
  </si>
  <si>
    <t>Determinación de especies mineralógicas de ópacos (minerales metálicos)</t>
  </si>
  <si>
    <t>Difracción de Rayos X</t>
  </si>
  <si>
    <t>Determinación de elementos mediante Difracción de Rayos X</t>
  </si>
  <si>
    <t>Fotografía lámina delgada (ud)</t>
  </si>
  <si>
    <t>Ensayo de durabilidad SDT</t>
  </si>
  <si>
    <t>Ensayo de durabilidad SDT (Slake Durability Test) NLT 251</t>
  </si>
  <si>
    <t>Indice Schimazec+lámina+brasileño</t>
  </si>
  <si>
    <t>Determinación Indice de Schimazec + lámina + brasileño (sin fotografía)</t>
  </si>
  <si>
    <t>Velocidad sónica en laboratorio</t>
  </si>
  <si>
    <t>Índice de dureza Cerchar</t>
  </si>
  <si>
    <t>Índice de Abrasividad Cerchar</t>
  </si>
  <si>
    <t>Indice D.R.I. (Drilling Rate  Index)</t>
  </si>
  <si>
    <t>Índice de Lutton</t>
  </si>
  <si>
    <t>Absorción y peso específico aparente</t>
  </si>
  <si>
    <t>Índice de dureza (esclerómetro Schmidt)</t>
  </si>
  <si>
    <t>Compresión uniaxial roca</t>
  </si>
  <si>
    <t>Compresión simple de una probeta de roca) UNE 22-950-90/1</t>
  </si>
  <si>
    <t>Compresión simple módulo de Young</t>
  </si>
  <si>
    <t>Compresión simple roca con módulo Young. UNE 22-950-90/3. Banda a 350 ohmios</t>
  </si>
  <si>
    <t>Compresión simple módulo Young y Poisson</t>
  </si>
  <si>
    <t>Compresión simple roca - módulo Young y Poisson. UNE 22-950-90/3</t>
  </si>
  <si>
    <t>C. simple Young y Poisson carga-descarga</t>
  </si>
  <si>
    <t>CSR con módulo Young y Poisson con ciclos de carga y descarga. UNE 22-950-90/3</t>
  </si>
  <si>
    <t>Ensayo Brasileño</t>
  </si>
  <si>
    <t>Ensayo Brasileño. UNE 22-950-90/2</t>
  </si>
  <si>
    <t>Carga puntual (Point Load Test)</t>
  </si>
  <si>
    <t>Ensayo de resistencia a carga puntual (Point Load Test) UNE 22950-5-96</t>
  </si>
  <si>
    <t>Rotura 10 muestras prensa Franklin</t>
  </si>
  <si>
    <t>Rotura 10 muestras en prensa Franklin. NLT 252</t>
  </si>
  <si>
    <t>Triaxial de una probeta de roca</t>
  </si>
  <si>
    <t>Resistencia a la compresión Triaxial de una probeta de roca UNE 22-950-92/4</t>
  </si>
  <si>
    <t>Célula de Hoek. Resistencia pico</t>
  </si>
  <si>
    <t>Corte roca diaclasas naturales o inducidas, resistencia pico. Célula de Hoek</t>
  </si>
  <si>
    <t>Célula Hoek. Resistencia pico y residual</t>
  </si>
  <si>
    <t>Corte roca diaclasas, resistencia de pico/residual. Célula de Hoek.</t>
  </si>
  <si>
    <t>Peso específico, absorción y porosidad</t>
  </si>
  <si>
    <t>Peso específico, absorción y porosidad en tres probetas. UNE 22172 y 22182</t>
  </si>
  <si>
    <t>Desgaste por rozamiento en dos probetas</t>
  </si>
  <si>
    <t>Resistencia al desgaste por rozamiento en dos probetas. UNE 22173 y 22183</t>
  </si>
  <si>
    <t>Resistencia a flexión (6 probetas)</t>
  </si>
  <si>
    <t>Resistencia a flexión UNE 22186 (6 probetas)</t>
  </si>
  <si>
    <t>Resistencia a compresión (6 probetas)</t>
  </si>
  <si>
    <t>Resistencia a compresión UNE 22185 (6 probetas)</t>
  </si>
  <si>
    <t>Heladicidad (3 probetas)</t>
  </si>
  <si>
    <t>Resistencia a las heladas -heladicidad- UNE 22174 y 22184 (3 probetas)</t>
  </si>
  <si>
    <t>Resistencia cambios térmicos 4 probetas</t>
  </si>
  <si>
    <t>Resistencia a los cambios térmicos UNE 22197 (4 probetas)</t>
  </si>
  <si>
    <t>Resistencia choque (impacto) 4 probetas</t>
  </si>
  <si>
    <t>Resistencia al choque (impacto) UNE 22179 y 22189 (4 probetas)</t>
  </si>
  <si>
    <t>Apertura y descripción</t>
  </si>
  <si>
    <t>Preparación de muestras para ensayos</t>
  </si>
  <si>
    <t>Molido de muestra tamiz 0,080</t>
  </si>
  <si>
    <t>Determinación de terrones de arcilla</t>
  </si>
  <si>
    <t>Determinación de terrones de arcilla UNE 7133</t>
  </si>
  <si>
    <t>Partículas blandas en áridos gruesos</t>
  </si>
  <si>
    <t>Determinación de partículas blandas en áridos gruesos UNE 7134</t>
  </si>
  <si>
    <t>Compuestos azufre áridos cuantitativa</t>
  </si>
  <si>
    <t>Determinación cuantitativa de los compuestos de azufre  en los áridos UNE 83120</t>
  </si>
  <si>
    <t>Materia orgánica en arenas. UNE 7082</t>
  </si>
  <si>
    <t>Determinación de materia orgánica en arenas. UNE 7082</t>
  </si>
  <si>
    <t>Equivalente de arena en áridos UNE 83131</t>
  </si>
  <si>
    <t>Determinación del equivalente de arena en áridos UNE 83131</t>
  </si>
  <si>
    <t>Ensayo del azul de metileno UNE-EN 933-9</t>
  </si>
  <si>
    <t>Reactividad con álcalis del cemento</t>
  </si>
  <si>
    <t>Determinación de la reactividad con los álcalis del cemento UNE 146507</t>
  </si>
  <si>
    <t>Reactividad álcali-sílice UNE 146507</t>
  </si>
  <si>
    <t>Coeficiente friabilidad arena microdeval</t>
  </si>
  <si>
    <t>Medida coeficiente de friabilidad de las arenas, microdeval. UNE 83-115-89</t>
  </si>
  <si>
    <t>Coeficiente friabilidad de los áridos</t>
  </si>
  <si>
    <t>Coeficiente friabilidad de los áridos. NLT-351</t>
  </si>
  <si>
    <t>Los Ángeles en muestra machacada</t>
  </si>
  <si>
    <t>Determinación coeficiente Los Ángeles en muestra machacada UNE 83116 NLT 149</t>
  </si>
  <si>
    <t>Densidad, absorción y humedad árido fino</t>
  </si>
  <si>
    <t>Densidad , coeficiente absorción y contenido agua áridos finos UNE 83133 NLT 154</t>
  </si>
  <si>
    <t>Dens., poro., absorción y W árido grueso</t>
  </si>
  <si>
    <t>Densidad , poro., coef. Absor. y cont. agua en áridos gruesos UNE 83134 NLT 153</t>
  </si>
  <si>
    <t>Estabilidad disoluciones SO4Na - SO4Mg</t>
  </si>
  <si>
    <t>Estabilidad frente a  disoluciones sulfato Na o Mg UNE-EN 1367-2.NLT 158</t>
  </si>
  <si>
    <t>Determinación del coeficiente de forma</t>
  </si>
  <si>
    <t>Determinación del coeficiente de forma UNE 7238</t>
  </si>
  <si>
    <t>Estabilidad áridos-roca desmoronamiento</t>
  </si>
  <si>
    <t>Estabilidad áridos y fragmentos roca frente desmoronamiento en agua. NLT-255/99</t>
  </si>
  <si>
    <t>Contenido finos pasan por el tamiz 0,080</t>
  </si>
  <si>
    <t>Determinación contenido de finos que pasan por el tamiz 0,080. UNE 7135</t>
  </si>
  <si>
    <t>Análisis granulométrico gravas</t>
  </si>
  <si>
    <t>Análisis granulométrico gravas UNE 7376 UNE-EN 933-2</t>
  </si>
  <si>
    <t>Coeficiente de pulido acelerado (CPA)</t>
  </si>
  <si>
    <t>Coeficiente de pulido acelerado (CPA). NLT 174</t>
  </si>
  <si>
    <t>Índice de lajas y agujas de los áridos</t>
  </si>
  <si>
    <t>Índice de lajas y agujas de los áridos UNE-EN 933-2.NLT-354</t>
  </si>
  <si>
    <t>Caras de fractura</t>
  </si>
  <si>
    <t>Proporción  del árido grueso que presentan dos o más caras de fractura. NLT 358</t>
  </si>
  <si>
    <t>Adhesividad áridos gruesos en agua</t>
  </si>
  <si>
    <t>Adhesividad de los áridos gruesos en presencia de agua. NLT-166</t>
  </si>
  <si>
    <t>Estabilidad áridos-roca humedad-sequedad</t>
  </si>
  <si>
    <t>Estabilidad áridos y fragmentos roca frente acción humedad-sequedad. NLT-260/99</t>
  </si>
  <si>
    <t>Coeficiente de limpieza superficial</t>
  </si>
  <si>
    <t>Coeficiente de limpieza superficial. NLT-172/86</t>
  </si>
  <si>
    <t>Análisis standard</t>
  </si>
  <si>
    <t>Análisis Standard agua</t>
  </si>
  <si>
    <t>Análisis de agresividad EHE-98</t>
  </si>
  <si>
    <t>Análisis de agresividad de las aguas al hormigón según norma EHE-98.</t>
  </si>
  <si>
    <t>Análisis de agresividad EHE-91</t>
  </si>
  <si>
    <t>Análisis de agresividad de las aguas al hormigón según norma EHE-91.</t>
  </si>
  <si>
    <t>Ensayo de carga de terrenos con placa</t>
  </si>
  <si>
    <t>Inundación Bajo Carga</t>
  </si>
  <si>
    <t>Índice de Lajas. UNE-EN 933-3:1997.</t>
  </si>
  <si>
    <t>Resistencia al desgaste (Micro-Deval)</t>
  </si>
  <si>
    <t>Resistencia al desgaste (Micro-Deval). UNE-EN 1097-1.</t>
  </si>
  <si>
    <t>Coeficiente de friabilidad de las arenas</t>
  </si>
  <si>
    <t>Coeficiente de friabilidad de las arenas. UNE 83-115-89.</t>
  </si>
  <si>
    <t>max. 40 Characters</t>
  </si>
  <si>
    <t>max. 80 Characters</t>
  </si>
  <si>
    <t>Sample opening and description</t>
  </si>
  <si>
    <t>Opening and description of soil, rock and/or aggregate samples</t>
  </si>
  <si>
    <t>Soil test sample preparation</t>
  </si>
  <si>
    <t>Sample preparation for soil tests UNE 103-100-95</t>
  </si>
  <si>
    <t>Test tablet topping</t>
  </si>
  <si>
    <t>Edometric/CD/collapse/free swelling test tablet remoulding</t>
  </si>
  <si>
    <t>Swirling of a test specimen</t>
  </si>
  <si>
    <t>Remoulding of specimen for CS or triaxial breakage or 1.5 inch permeability</t>
  </si>
  <si>
    <t>Carving of a sample received as a block</t>
  </si>
  <si>
    <t>Carving of specimen received in paraffin block</t>
  </si>
  <si>
    <t>Cutting of core samples</t>
  </si>
  <si>
    <t>Carving of core sample</t>
  </si>
  <si>
    <t>Preparation of fractions-mixed materials</t>
  </si>
  <si>
    <t>Preparation of granular material mix-fractions for compaction test</t>
  </si>
  <si>
    <t>Grinding sample coming out 0.080UNEsieve</t>
  </si>
  <si>
    <t>Grinding of sample with 60 g output of 0.080 UNE sieve</t>
  </si>
  <si>
    <t>Moisture determination oven-drying</t>
  </si>
  <si>
    <t>Determination of the humidity of a soil by drying in an oven UNE 103-300-93</t>
  </si>
  <si>
    <t>Determination of the density of a soil</t>
  </si>
  <si>
    <t>Determination of soil density. Hydrostatic balance method UNE 103-301-94</t>
  </si>
  <si>
    <t>Determination of Atterberg limits</t>
  </si>
  <si>
    <t xml:space="preserve">Determination of Atterberg Limits UNE 103-103-94 y 103-104-93 </t>
  </si>
  <si>
    <t>Non-plasticity test</t>
  </si>
  <si>
    <t xml:space="preserve">Verification of non-plasticity UNE 103-104-93. NLT 106 </t>
  </si>
  <si>
    <t>Gypsum content in soils (NLT-115/99)</t>
  </si>
  <si>
    <t>Sieve sieve analysis of soils</t>
  </si>
  <si>
    <t>Particle-size analysis of soils by sieving UNE 103-101-95.</t>
  </si>
  <si>
    <t>Sieve particle size analysis of gravel</t>
  </si>
  <si>
    <t>Grain-size analysis by sieving in gravel UNE 103101. NLT 104</t>
  </si>
  <si>
    <t>Coarse and fine particle size analysis</t>
  </si>
  <si>
    <t>Sieve particle size analysis of coarse and fine gravel UNE 103101. NLT 104</t>
  </si>
  <si>
    <t>Grain-size analysis sedimentation</t>
  </si>
  <si>
    <t>Particle-size analysis by sedimentation UNE 103102</t>
  </si>
  <si>
    <t>Material passing through the 0,080 sieve</t>
  </si>
  <si>
    <t>Material passing through the 0.080 sieve UNE. UNE-7135</t>
  </si>
  <si>
    <t>Dispersibility test - PIN HOLE</t>
  </si>
  <si>
    <t>Dispersibility test by tubification (PIN HOLE) NLT-207</t>
  </si>
  <si>
    <t>Evaluation of methylene blue clays</t>
  </si>
  <si>
    <t>Evaluation of clays in fine materials by means of methylene blue UNE 83130</t>
  </si>
  <si>
    <t>Determination of sand equivalent</t>
  </si>
  <si>
    <t>Determination of the Equivalent of a sand UNE 103109 NLT 113</t>
  </si>
  <si>
    <t>Determination of specific weight</t>
  </si>
  <si>
    <t>Determination of rel. density of soil particles/specific weight UNE103-302-94</t>
  </si>
  <si>
    <t>Determination of soil porosity</t>
  </si>
  <si>
    <t>Determination of the porosity of a soil UNE 7045.</t>
  </si>
  <si>
    <t>Soil collapse test NLT 254/99</t>
  </si>
  <si>
    <t>Determination of soil expansivity Lambe</t>
  </si>
  <si>
    <t>Determination of the expansivity of a soil in Lambe apparatus. UNE 103-600-96</t>
  </si>
  <si>
    <t>Permeability of granular constant load</t>
  </si>
  <si>
    <t>Permeability under constant load in granular soils UNE 103403</t>
  </si>
  <si>
    <t>Permeability triaxial apparatus</t>
  </si>
  <si>
    <t>Permeability with glue pressure in a 1.5 inch cell (triaxial apparatus).</t>
  </si>
  <si>
    <t>Compaction mini Haward test tube</t>
  </si>
  <si>
    <t>Compaction of test specimen in mini Haward moulds</t>
  </si>
  <si>
    <t>Compaction test. Normal Proctor</t>
  </si>
  <si>
    <t>Compaction test. Normal Proctor UNE 103-500-94</t>
  </si>
  <si>
    <t>Compaction test. Modified Proctor</t>
  </si>
  <si>
    <t>Compaction test. Modified Proctor UNE 103-501-94</t>
  </si>
  <si>
    <t>C.B.R. Normal proctor index</t>
  </si>
  <si>
    <t>C.B.R. Index of a soil with Normal proctor energy UNE 103-502-95</t>
  </si>
  <si>
    <t>Modified C.B.R. proctor index</t>
  </si>
  <si>
    <t>C.B.R. Index of a soil with Modified proctor energy UNE 103-502-95</t>
  </si>
  <si>
    <t>Minimum density of a sand</t>
  </si>
  <si>
    <t xml:space="preserve">Minimum density of a sand UNE 103105. NLT 204 </t>
  </si>
  <si>
    <t>Maximum density of sand by tamped method</t>
  </si>
  <si>
    <t xml:space="preserve">Maximum density of a sand by the tamping method UNE 103105. NLT 204 </t>
  </si>
  <si>
    <t>USCS-HRB-ASTM soil classification</t>
  </si>
  <si>
    <t>Classification of a soil according to USCS-HRB. ASTM-D 2487/00</t>
  </si>
  <si>
    <t>Simple compression burst test</t>
  </si>
  <si>
    <t>Simple compression rupture test on soil specimens UNE 103-400-93.</t>
  </si>
  <si>
    <t>CD Unconsolidated and undrained (UU)</t>
  </si>
  <si>
    <t>Direct shear . Unconsolidated and undrained (UU). UNE 103-401-98</t>
  </si>
  <si>
    <t>CD Consolidated and undrained (CU)</t>
  </si>
  <si>
    <t>Direct shear . Unconsolidated and without drainage (CU). UNE 103-401-98</t>
  </si>
  <si>
    <t>CD Consolidated and drained (CD)</t>
  </si>
  <si>
    <t>Direct cut . Unconsolidated and without drainage (CD). UNE 103-401-98</t>
  </si>
  <si>
    <t>Oedometer UNE 103-405-94</t>
  </si>
  <si>
    <t>One-dimensional consolidation test of a soil in a UNE 103-405-94 oedometer.</t>
  </si>
  <si>
    <t>Consolidation in oedometer</t>
  </si>
  <si>
    <t>UNE 103405 oedometer (8 loading and 3 unloading steps).</t>
  </si>
  <si>
    <t>Step additional load on oedometer</t>
  </si>
  <si>
    <t>Additional loading step in edometric test</t>
  </si>
  <si>
    <t>Waiting consolidation step/day</t>
  </si>
  <si>
    <t>Waiting for secondary consolidation for each step / day</t>
  </si>
  <si>
    <t>Oedometric test Rowe cell (10")</t>
  </si>
  <si>
    <t>Oedometric test in Rowe cell (10")</t>
  </si>
  <si>
    <t>Free swelling in oedometer</t>
  </si>
  <si>
    <t>Free swelling test of a soil in oedometer UNE 103-601-96</t>
  </si>
  <si>
    <t>Soil swelling pressure oedometer</t>
  </si>
  <si>
    <t>Swelling pressure of a soil in an oedometer UNE 103-602-96</t>
  </si>
  <si>
    <t>Resistance parameters triaxial UU</t>
  </si>
  <si>
    <t>Triaxial UNE 103-402-98(UU without previous consolidation&amp;rupture none drainage)</t>
  </si>
  <si>
    <t>Triaxial UU - 3 specimens UNE 103402</t>
  </si>
  <si>
    <t>Triaxial CU strength parameters</t>
  </si>
  <si>
    <t>Triaxial CU - 3 test specimens UNE 103-402-98</t>
  </si>
  <si>
    <t>Triaxial CU - 3 specimens UNE 103402 measurement of Interstitial pressures</t>
  </si>
  <si>
    <t>Triaxial strength parameters CD</t>
  </si>
  <si>
    <t>Triaxial CD - 3 specimens UNE 103-402-98</t>
  </si>
  <si>
    <t>Constant load consolidation test</t>
  </si>
  <si>
    <t>Consolidation test under constant load</t>
  </si>
  <si>
    <t>Pocket Penetrometer</t>
  </si>
  <si>
    <t>Soil carbonates (Bernard method)</t>
  </si>
  <si>
    <t>Carbonates in soils (Bernard calcimeter method) UNE 103-200-93</t>
  </si>
  <si>
    <t>Qualitative carbonates</t>
  </si>
  <si>
    <t>Qualitative determination of carbonates</t>
  </si>
  <si>
    <t xml:space="preserve">Oxidisable organic matter UNE103-204-93 </t>
  </si>
  <si>
    <t xml:space="preserve">Soil oxidisable organic matter potassium permanganate method UNE 103-204-93 </t>
  </si>
  <si>
    <t>Qualitative soluble sulphates</t>
  </si>
  <si>
    <t>Qualitative soluble sulphate content of a soil UNE 103-202-95</t>
  </si>
  <si>
    <t>Sulphates in soils ANNEX 5 EHE 98</t>
  </si>
  <si>
    <t>Determination of sulphate content in soils ANNEX 5 EHE 98</t>
  </si>
  <si>
    <t>Acid soluble sulphates UNE EN 1744-1</t>
  </si>
  <si>
    <t>Determination of acid soluble sulphate content UNE EN 1744-1</t>
  </si>
  <si>
    <t>Determination of pH in soils</t>
  </si>
  <si>
    <t>Determination of soluble salts. NLT 114/99</t>
  </si>
  <si>
    <t>Acidity Baumann-Gully ANNEX 5 EHE 98</t>
  </si>
  <si>
    <t>Determination of Baumann-Gully Acidity ANNEX 5 EHE 98</t>
  </si>
  <si>
    <t>Organic matter, hydrogen peroxide</t>
  </si>
  <si>
    <t>Organic matter content, hydrogen peroxide method UNE 7368/77</t>
  </si>
  <si>
    <t>Organic matter, dichromate method</t>
  </si>
  <si>
    <t>Organic matter content, dichromate method NLT 118/59 and UNE 103-204-93</t>
  </si>
  <si>
    <t>Determination of chlorides in soils</t>
  </si>
  <si>
    <t>Determination of sulphides</t>
  </si>
  <si>
    <t>Soil aggressivity Annex 5 of the EHE</t>
  </si>
  <si>
    <t>Determination of the aggressivity of a soil according to Annex 5 of the EHE</t>
  </si>
  <si>
    <t>General sample preparation</t>
  </si>
  <si>
    <t>General sample preparation for testing</t>
  </si>
  <si>
    <t>Sample preparation</t>
  </si>
  <si>
    <t>Preparation of specimen for CS testing from core samples (cutting)</t>
  </si>
  <si>
    <t>Brazilian sample preparation</t>
  </si>
  <si>
    <t>Preparation of a specimen for Brazilian test from core samples</t>
  </si>
  <si>
    <t>Sample preparation direct rock cut</t>
  </si>
  <si>
    <t>Specimen preparation for direct shear test (concreting)</t>
  </si>
  <si>
    <t>Cutting of cubic specimen 7x7x7x7cm</t>
  </si>
  <si>
    <t>Cutting of a cubic specimen 7 x 7 x 7 x 7 cm from blocks</t>
  </si>
  <si>
    <t>Crushing of samples &lt; 25 Kg</t>
  </si>
  <si>
    <t>Crushing of samples between 25Kg&amp;50Kg</t>
  </si>
  <si>
    <t>Crushing of samples between 25 Kg and 50 Kg</t>
  </si>
  <si>
    <t>Core extraction 48 mm. Blocks</t>
  </si>
  <si>
    <t>Extraction of cores of 40 cm length and 48 mm diameter from blocks</t>
  </si>
  <si>
    <t>Extraction of cores 48 mm. Cores</t>
  </si>
  <si>
    <t>Extraction of cores 40 cm length and 48 mm diameter from cores</t>
  </si>
  <si>
    <t>Grinding sample output sieve 0,080</t>
  </si>
  <si>
    <t>Sample grinding with 60 g sieve output 0.080 UNE</t>
  </si>
  <si>
    <t>Natural moisture UNE 7328; NLT 102/72</t>
  </si>
  <si>
    <t>Real density</t>
  </si>
  <si>
    <t>Apparent density NLT 156/72</t>
  </si>
  <si>
    <t>Determination of porosity</t>
  </si>
  <si>
    <t>Los Angeles wear coefficient</t>
  </si>
  <si>
    <t>Determination of the Los Angeles wear coefficient. UNE 83116. NLT 149</t>
  </si>
  <si>
    <t>Thin film petrographic study</t>
  </si>
  <si>
    <t>Petrographic study by thin film</t>
  </si>
  <si>
    <t>Petrographic study of mineral counts</t>
  </si>
  <si>
    <t>Petrographic study with mineralogical counting</t>
  </si>
  <si>
    <t>Determination of metallic minerals</t>
  </si>
  <si>
    <t>Determination of mineralogical species of opal (metallic minerals).</t>
  </si>
  <si>
    <t>X-ray diffraction</t>
  </si>
  <si>
    <t>Determination of elements by X-ray diffraction.</t>
  </si>
  <si>
    <t>Thin film photography (pc)</t>
  </si>
  <si>
    <t>Durability test SDT</t>
  </si>
  <si>
    <t>Durability test SDT (Slake Durability Test) NLT 251</t>
  </si>
  <si>
    <t>Schimazec+Schimazec+sheet+BrazilianIndex</t>
  </si>
  <si>
    <t>Determination of Schimazec Index + foil + Brazilian (without photography)</t>
  </si>
  <si>
    <t>Laboratory sonic velocity</t>
  </si>
  <si>
    <t>Cerchar Hardness Index</t>
  </si>
  <si>
    <t>Cerchar Abrasiveness Index</t>
  </si>
  <si>
    <t>D.R.I. index (Drilling Rate Index)</t>
  </si>
  <si>
    <t>D.R.I. Index (Drilling Rate Index)</t>
  </si>
  <si>
    <t>Lutton Index</t>
  </si>
  <si>
    <t>Absorption and apparent specific gravity</t>
  </si>
  <si>
    <t>Hardness Index (Schmidt sclerometer)</t>
  </si>
  <si>
    <t>Hardness index (Schmidt sclerometer)</t>
  </si>
  <si>
    <t>Uniaxial rock compression</t>
  </si>
  <si>
    <t>Simple compression of a rock specimen (UNE 22-950-90/1).</t>
  </si>
  <si>
    <t>Young's modulus simple compression</t>
  </si>
  <si>
    <t>Simple rock compression with Young's modulus. UNE 22-950-90/3. Band at 350 ohms</t>
  </si>
  <si>
    <t>Simple Young's &amp; Poisson's comp. modulus</t>
  </si>
  <si>
    <t>Simple rock compression - Young and Poisson modulus. UNE 22-950-90/3</t>
  </si>
  <si>
    <t>Simple Young's &amp; Poisson's mod. load-discharge</t>
  </si>
  <si>
    <t>CSR with Young &amp;Poisson modulus + loading &amp;unloading cycles. UNE 22-950-90/3</t>
  </si>
  <si>
    <t>Brazilian test</t>
  </si>
  <si>
    <t>Brazilian test. UNE 22-950-90/2</t>
  </si>
  <si>
    <t>Point Load Test</t>
  </si>
  <si>
    <t>Point Load Resistance Test (Point Load Test) UNE 22950-5-96</t>
  </si>
  <si>
    <t>Breakage 10 Franklin press specimens</t>
  </si>
  <si>
    <t>Breakage of 10 samples in Franklin press. NLT 252</t>
  </si>
  <si>
    <t>Triaxial of a rock specimen</t>
  </si>
  <si>
    <t>Triaxial compressive strength of a rock specimen UNE 22-950-92/4</t>
  </si>
  <si>
    <t>Hoek cell. Peak resistance</t>
  </si>
  <si>
    <t>Cutting of rock with natural or induced diaclases, peak resistance. Hoek cell</t>
  </si>
  <si>
    <t>Hoek cell. Peak and residual strength</t>
  </si>
  <si>
    <t>Cutting rock diaclases, peak/residual resistance. Hoek cell.</t>
  </si>
  <si>
    <t>Specific gravity,absorption and porosity</t>
  </si>
  <si>
    <t>Specific gravity, absorption and porosity in three specimens.UNE 22172&amp;22182</t>
  </si>
  <si>
    <t>Frictional wear on two specimens</t>
  </si>
  <si>
    <t>Frictional wear resistance in two specimens. UNE 22173 and 22183</t>
  </si>
  <si>
    <t>Flexural strength (6 specimens)</t>
  </si>
  <si>
    <t>Flexural strength UNE 22186 (6 test specimens).</t>
  </si>
  <si>
    <t>Compressive strength (6 specimens)</t>
  </si>
  <si>
    <t>Compression resistance UNE 22185 (6 specimens).</t>
  </si>
  <si>
    <t>Helical strength (3 specimens)</t>
  </si>
  <si>
    <t>Resistance to frost -heladicity- UNE 22174 and 22184 (3 specimens)</t>
  </si>
  <si>
    <t>Resistance to thermal changes 4specimens</t>
  </si>
  <si>
    <t>Resistance to thermal changes UNE 22197 (4 specimens)</t>
  </si>
  <si>
    <t>Shock resistance (impact) 4 specimens</t>
  </si>
  <si>
    <t>Resistance to shock (impact) UNE 22179 and 22189 (4 test specimens)</t>
  </si>
  <si>
    <t>Opening and description</t>
  </si>
  <si>
    <t>Preparation of specimens for testing</t>
  </si>
  <si>
    <t>Preparation of samples for testing</t>
  </si>
  <si>
    <t>Crushing of specimens &lt; 25 Kg</t>
  </si>
  <si>
    <t>Grinding of samples with 0,080 sieve</t>
  </si>
  <si>
    <t>Sample crushing with 60 g of sieve output 0,080 UNE</t>
  </si>
  <si>
    <t>Determination of clay lumps</t>
  </si>
  <si>
    <t>Determination of clay lumps UNE 7133</t>
  </si>
  <si>
    <t>Soft particles in coarse aggregates</t>
  </si>
  <si>
    <t>Determination of soft particles in coarse aggregates UNE 7134</t>
  </si>
  <si>
    <t>Quant. sulphur compounds in aggregates</t>
  </si>
  <si>
    <t>Quantitative determination of sulphur compounds in aggregates UNE 83120</t>
  </si>
  <si>
    <t>Organic matter in sands. UNE 7082</t>
  </si>
  <si>
    <t>Determination of organic matter in sands. UNE 7082</t>
  </si>
  <si>
    <t>Sand equivalent in aggregates UNE 83131</t>
  </si>
  <si>
    <t>Determination of sand equivalent in aggregates UNE 83131</t>
  </si>
  <si>
    <t>Methylene blue test UNE-EN 933-9</t>
  </si>
  <si>
    <t>Reactivity with cement alkalis</t>
  </si>
  <si>
    <t>Determination of reactivity with cement alkalis UNE 146507</t>
  </si>
  <si>
    <t>Alkali-silica reactivity UNE 146507</t>
  </si>
  <si>
    <t>Friability coeff. of microdeval sand</t>
  </si>
  <si>
    <t>Measurement of the friability coefficient of sands, microdeval. UNE 83-115-89</t>
  </si>
  <si>
    <t>Friability coefficient of aggregates</t>
  </si>
  <si>
    <t>Friability coefficient of aggregates. NLT-351</t>
  </si>
  <si>
    <t>Los Angeles in crushed sample</t>
  </si>
  <si>
    <t>Determination of Los Angeles coefficient in crushed sample UNE 83116 NLT 149</t>
  </si>
  <si>
    <t>Density,absorp.&amp; humidity fine aggregate</t>
  </si>
  <si>
    <t>Density/absorption coeff.&amp; water content of fine aggregates-UNE 83133/NLT 154</t>
  </si>
  <si>
    <t>Density,pore,absorp.&amp; W coarse aggregate</t>
  </si>
  <si>
    <t>Density/pore/absorptioncoeff. &amp; water content coarse aggregatesUNE 83134/NLT 153</t>
  </si>
  <si>
    <t>Stability of SO4Na - SO4Mg solutions</t>
  </si>
  <si>
    <t>Stability against Na or Mg sulphate solutions UNE-EN 1367-2.NLT 158</t>
  </si>
  <si>
    <t>Determination of the shape coefficient</t>
  </si>
  <si>
    <t>Determination of the shape coefficient UNE 7238</t>
  </si>
  <si>
    <t>Aggregate-rock crumbling stability</t>
  </si>
  <si>
    <t>Stability of aggregates &amp; rock fragments against crumbling in water. NLT-255/99</t>
  </si>
  <si>
    <t>Fines content passing through0.080 sieve</t>
  </si>
  <si>
    <t>Determination of the content of fines passing through the 0.080 sieve. UNE 7135</t>
  </si>
  <si>
    <t>Gravel particle size analysis</t>
  </si>
  <si>
    <t>Gravel granulometric analysis UNE 7376 UNE-EN 933-2</t>
  </si>
  <si>
    <t>Coefficient accelerated polishing (CPA)</t>
  </si>
  <si>
    <t>Coefficient of accelerated polishing (CPA). NLT 174</t>
  </si>
  <si>
    <t>Aggregate needle and flake index</t>
  </si>
  <si>
    <t>Index of slabs and needles of aggregates UNE-EN 933-2.NLT-354</t>
  </si>
  <si>
    <t>Fracture faces</t>
  </si>
  <si>
    <t>Proportion of coarse aggregate with two or more fracture faces. NLT 358</t>
  </si>
  <si>
    <t>Adhesiveness coarse aggregates in water</t>
  </si>
  <si>
    <t>Adhesiveness of coarse aggregates in the presence of water. NLT-166</t>
  </si>
  <si>
    <t>Aggreg.-rock moisture-dryness stability</t>
  </si>
  <si>
    <t>Stability of aggregates&amp;rock fragments against moisture-dryness actionNLT-260/99</t>
  </si>
  <si>
    <t>Surface cleanliness coefficient</t>
  </si>
  <si>
    <t>Surface cleanliness coefficient. NLT-172/86</t>
  </si>
  <si>
    <t>Standard analysis</t>
  </si>
  <si>
    <t>Standard water analysis</t>
  </si>
  <si>
    <t>Aggressiveness analysis EHE-98</t>
  </si>
  <si>
    <t>Analysis of water aggressiveness to concrete according to EHE-98 standard.</t>
  </si>
  <si>
    <t>Aggressiveness analysis EHE-91</t>
  </si>
  <si>
    <t>Analysis of water aggressiveness to concrete according to EHE-91 standard.</t>
  </si>
  <si>
    <t>Soil load test with plate</t>
  </si>
  <si>
    <t>Flooding under load</t>
  </si>
  <si>
    <t>Slab Index. UNE-EN 933-3:1997.</t>
  </si>
  <si>
    <t>Resistance to wear (Micro-Deval)</t>
  </si>
  <si>
    <t>Wear resistance (Micro-Deval). UNE-EN 1097-1.</t>
  </si>
  <si>
    <t>Coefficient of friability of the sands</t>
  </si>
  <si>
    <t>Coefficient of friability of sands. UNE 83-115-89.</t>
  </si>
  <si>
    <t>max. 40 Characters2</t>
  </si>
  <si>
    <t>max. 80 Characters3</t>
  </si>
  <si>
    <t>TS-Product</t>
  </si>
  <si>
    <t>sevice id</t>
  </si>
  <si>
    <t>Service</t>
  </si>
  <si>
    <t>Client/obt</t>
  </si>
  <si>
    <t>Text</t>
  </si>
  <si>
    <t>Description</t>
  </si>
  <si>
    <t xml:space="preserve">more detailed description </t>
  </si>
  <si>
    <t>SubCod</t>
  </si>
  <si>
    <t>Material CODES</t>
  </si>
  <si>
    <t>TS-1000</t>
  </si>
  <si>
    <t>Environmental characterization studies</t>
  </si>
  <si>
    <t>S10</t>
  </si>
  <si>
    <t>Accredited environmental inspections (ENAC)</t>
  </si>
  <si>
    <t>Exploratory characterization studies.</t>
  </si>
  <si>
    <t>Basic characterization studies of the potential contamination of the soil and associated groundwater.</t>
  </si>
  <si>
    <t>S10-380-10</t>
  </si>
  <si>
    <t>Detailed characterization studies.</t>
  </si>
  <si>
    <t>Complete characterization studies of the potential contamination of the soil and associated groundwater, which delimits the extent of the contamination.</t>
  </si>
  <si>
    <t>S10-380-20</t>
  </si>
  <si>
    <t>Certification of the quality of the remaining soil.</t>
  </si>
  <si>
    <t>Soil characterization studies during the excavation of a potentially contaminated plot.</t>
  </si>
  <si>
    <t>S10-725-10</t>
  </si>
  <si>
    <t>Control and monitoring of groundwater quality.</t>
  </si>
  <si>
    <t xml:space="preserve">Establishment of potential groundwater contamination </t>
  </si>
  <si>
    <t>S10-551-10</t>
  </si>
  <si>
    <t>G60</t>
  </si>
  <si>
    <t>Unaccredited environmental studies.</t>
  </si>
  <si>
    <t>Environmental impact studies.</t>
  </si>
  <si>
    <t>Carrying out environmental impact studies for the implementation of civil works or industrial sites.</t>
  </si>
  <si>
    <t>G60-134-10</t>
  </si>
  <si>
    <t>Quantitative risk analysis.</t>
  </si>
  <si>
    <t xml:space="preserve">Quantitative risk assessment studies to determine the maximum allowable concentrations of a given pollutant or establish cleanup targets levels for a site. </t>
  </si>
  <si>
    <t>´00</t>
  </si>
  <si>
    <t>G60-134-´00</t>
  </si>
  <si>
    <t>Soil and groundwater remediation</t>
  </si>
  <si>
    <t>Remediation work.</t>
  </si>
  <si>
    <t>Soil remediation projects.</t>
  </si>
  <si>
    <t>Drafting of soil and associated groundwater remediation projects that allow the cleanup objectives to be achieved at a specific site.</t>
  </si>
  <si>
    <t>G60-725-10</t>
  </si>
  <si>
    <t>Remediation monitoring reports.</t>
  </si>
  <si>
    <t xml:space="preserve">Drafting of technical reports to monitor the remediation process of a site. </t>
  </si>
  <si>
    <t>G60-129-10</t>
  </si>
  <si>
    <t>TS-1202</t>
  </si>
  <si>
    <t>Geotechnical characterization studies</t>
  </si>
  <si>
    <t>S51</t>
  </si>
  <si>
    <t>Geotechnical studies.</t>
  </si>
  <si>
    <t>Geotechnical studies for building.</t>
  </si>
  <si>
    <t>Drafting of geotechnical reports associated with building works (bearing capacity of the spoil, settlements, geotechnical characterization, etc.).</t>
  </si>
  <si>
    <t>09</t>
  </si>
  <si>
    <t>S51-733-09</t>
  </si>
  <si>
    <t>Slope stability studies.</t>
  </si>
  <si>
    <t>Geotechnical studies to characterize the stability of slopes in civil works (roads) or buildings (excavation holes for basements).</t>
  </si>
  <si>
    <t>S51-733-10</t>
  </si>
  <si>
    <t>Geotechnical studies of linear works (roads, gas pipelines, etc.)</t>
  </si>
  <si>
    <t xml:space="preserve">Geotechnical studies for the construction of linear works (establishing the degree of excavability and stability of the terrain, description of geotechnical problems, etc.). </t>
  </si>
  <si>
    <t>S51-733-20</t>
  </si>
  <si>
    <t>T13</t>
  </si>
  <si>
    <t>Laboratory tests of soil, rocks, agrregates, water and others.</t>
  </si>
  <si>
    <t>#1 Laboratory tests on soil samples.</t>
  </si>
  <si>
    <t>Performance of physicochemical characterization tests, resistance, deformability, etc. In soil mechanics.</t>
  </si>
  <si>
    <t>00</t>
  </si>
  <si>
    <t>T13-380-00</t>
  </si>
  <si>
    <t>#2 Laboratory tests on rock samples.</t>
  </si>
  <si>
    <t xml:space="preserve">Performance of physicochemical characterization tests, resistance, deformability, etc. In rock mechanics. </t>
  </si>
  <si>
    <t>T13-733-00</t>
  </si>
  <si>
    <t>#3 Laboratory tests on aggregates samples.</t>
  </si>
  <si>
    <t>Performance of physicochemical characterization tests, resistance, deformability, etc. In aggregares.</t>
  </si>
  <si>
    <t>T13-529-00</t>
  </si>
  <si>
    <t>#4 Laboratory tests on water samples.</t>
  </si>
  <si>
    <t>Chemical characterization tests in water.</t>
  </si>
  <si>
    <t>T13-551-00</t>
  </si>
  <si>
    <t>#5 Others laboratory tests.</t>
  </si>
  <si>
    <t>Others laboratory test (new test).</t>
  </si>
  <si>
    <t>T13-720-00</t>
  </si>
  <si>
    <t>Subcod 00 y/o 10   (00 = at home; 10= at the customer's site).</t>
  </si>
  <si>
    <t>+Subitems</t>
  </si>
  <si>
    <t>TS</t>
  </si>
  <si>
    <t>Activity</t>
  </si>
  <si>
    <t>Laboratory &amp; Geothechnics studies</t>
  </si>
  <si>
    <t>Contaminated soils</t>
  </si>
  <si>
    <t>Remediation</t>
  </si>
  <si>
    <t>Cataluña</t>
  </si>
  <si>
    <t xml:space="preserve">Subcontracting </t>
  </si>
  <si>
    <t>Tasas</t>
  </si>
  <si>
    <t>&lt;&lt;otros&gt;&gt;</t>
  </si>
  <si>
    <t>TOTAL AMOUNT (€)</t>
  </si>
  <si>
    <t>Comments</t>
  </si>
  <si>
    <t>Travel expenses</t>
  </si>
  <si>
    <t>Combustible</t>
  </si>
  <si>
    <t>Hotel</t>
  </si>
  <si>
    <t>Hours foreseen por project</t>
  </si>
  <si>
    <t>Hours</t>
  </si>
  <si>
    <t>€/h</t>
  </si>
  <si>
    <t>NET VALUE</t>
  </si>
  <si>
    <t>TOTAL COST</t>
  </si>
  <si>
    <t>MARGIN</t>
  </si>
  <si>
    <t>SAP CTRL</t>
  </si>
  <si>
    <t>SUBCONTRACTING</t>
  </si>
  <si>
    <t>TRAVEL EXPENSES</t>
  </si>
  <si>
    <t>OFFER AMOUNT</t>
  </si>
  <si>
    <t>HOURS</t>
  </si>
  <si>
    <t>Técnicos</t>
  </si>
  <si>
    <t>Subtotal (1)</t>
  </si>
  <si>
    <t>Subtotal (2)</t>
  </si>
  <si>
    <t>Subtotal (3)</t>
  </si>
  <si>
    <t>Subtotal (4)</t>
  </si>
  <si>
    <t>INFORMES</t>
  </si>
  <si>
    <t>TOTAL (SIN I.V.A.)</t>
  </si>
  <si>
    <t>Tubería PVC</t>
  </si>
  <si>
    <t>Retirada residuos</t>
  </si>
  <si>
    <t>HOTEL</t>
  </si>
  <si>
    <t>ACR</t>
  </si>
  <si>
    <t>TOTAL</t>
  </si>
  <si>
    <t>HORAS</t>
  </si>
  <si>
    <t>laboratorio 2</t>
  </si>
  <si>
    <t>Internal subcontracting</t>
  </si>
  <si>
    <t>Lab. Valdemoro</t>
  </si>
  <si>
    <t>DESPLAZAMIENTO</t>
  </si>
  <si>
    <t xml:space="preserve"> Km (9 litros/100 Km) =  l * 1,80 €</t>
  </si>
  <si>
    <t xml:space="preserve">  P.A. Transporte equipos y personal </t>
  </si>
  <si>
    <t>CAT'S</t>
  </si>
  <si>
    <t>RESY</t>
  </si>
  <si>
    <t>OFERTA</t>
  </si>
  <si>
    <t>SUBCONTRATACION SONDEOS</t>
  </si>
  <si>
    <t>CAMPO</t>
  </si>
  <si>
    <t>DIAS</t>
  </si>
  <si>
    <t>DESPLAZ.</t>
  </si>
  <si>
    <t>TAMARA</t>
  </si>
  <si>
    <t>ANNA</t>
  </si>
  <si>
    <t>QUIM</t>
  </si>
  <si>
    <t>HORAS CAT'S</t>
  </si>
  <si>
    <t>INFORME</t>
  </si>
  <si>
    <t>PLAN COST</t>
  </si>
  <si>
    <t>SUBCONT.</t>
  </si>
  <si>
    <t>PLAN COST  |  G3 DT</t>
  </si>
  <si>
    <t>NUM D'OFERTA</t>
  </si>
  <si>
    <t>NUM INF</t>
  </si>
  <si>
    <t>CLIENT / UBICACIÓ OBRA</t>
  </si>
  <si>
    <t>DESCRIPCIÓ TITÒL</t>
  </si>
  <si>
    <t>TIPUS</t>
  </si>
  <si>
    <t>CENTRE COST</t>
  </si>
  <si>
    <t xml:space="preserve">Persona Contacte </t>
  </si>
  <si>
    <t>Telèfon de Contacte</t>
  </si>
  <si>
    <t>Mobil de Contacte</t>
  </si>
  <si>
    <t>e-mail de Contacte</t>
  </si>
  <si>
    <t>Assignació kilometratge (EUR / km)</t>
  </si>
  <si>
    <t>Descompte comercial (%)</t>
  </si>
  <si>
    <t>Tecnic responsable</t>
  </si>
  <si>
    <t>sondejos</t>
  </si>
  <si>
    <t>Calicates</t>
  </si>
  <si>
    <t>laboratori</t>
  </si>
  <si>
    <t>Arquetes</t>
  </si>
  <si>
    <t>IMPORT TOTAL €</t>
  </si>
  <si>
    <t>Peatjes</t>
  </si>
  <si>
    <t>Tren/avió/lloguer cotxes</t>
  </si>
  <si>
    <t>Esmorzar/dinar/sopar</t>
  </si>
  <si>
    <t>Despeses varies</t>
  </si>
  <si>
    <t>Desplçaments</t>
  </si>
  <si>
    <t>Treballs de camp</t>
  </si>
  <si>
    <t>Treballs de gabinet</t>
  </si>
  <si>
    <t>jornades de camp</t>
  </si>
  <si>
    <t>jornades de gabinet</t>
  </si>
  <si>
    <t>RESUM</t>
  </si>
  <si>
    <t>HORAS reals</t>
  </si>
  <si>
    <t>Eva Vázquez Marcet</t>
  </si>
  <si>
    <t>Ariadna Salla</t>
  </si>
  <si>
    <t>Leian Martin</t>
  </si>
  <si>
    <t>PRESSUPOSTOS GEOTÈCCNICS</t>
  </si>
  <si>
    <t>SONDEIGS</t>
  </si>
  <si>
    <t>Emplaçament entre punts</t>
  </si>
  <si>
    <t>ml de sòls fins a 20 m</t>
  </si>
  <si>
    <t>ml de roques toves fins a 20 m</t>
  </si>
  <si>
    <t>ml graves fins a 20 m</t>
  </si>
  <si>
    <t>ml roca dura fins a 20 m</t>
  </si>
  <si>
    <t>ml de sòls fins de 20 a 40m</t>
  </si>
  <si>
    <t>CONCEPTE</t>
  </si>
  <si>
    <t>UNITATS</t>
  </si>
  <si>
    <t>PREU UNIT</t>
  </si>
  <si>
    <t>ml de roques toves de 20 a 40 m</t>
  </si>
  <si>
    <t>ml graves de 20 a 40 m</t>
  </si>
  <si>
    <t>ml roca dura de 20 a 40 m</t>
  </si>
  <si>
    <t>Assaig SPT</t>
  </si>
  <si>
    <t>Mostra inalterada</t>
  </si>
  <si>
    <t>Mostra parafinada</t>
  </si>
  <si>
    <t>Caixa de sondeigs</t>
  </si>
  <si>
    <t>ASSAIGS DPSH</t>
  </si>
  <si>
    <t>Desplaçament màquina de penetració</t>
  </si>
  <si>
    <t>unitat de penetració dinàmica DPSH</t>
  </si>
  <si>
    <t>ml previa a l'assaig SPT</t>
  </si>
  <si>
    <t>SPT</t>
  </si>
  <si>
    <t>ASSAIGS DE LABORATORI</t>
  </si>
  <si>
    <t xml:space="preserve">Obertura de mostra </t>
  </si>
  <si>
    <t>Analisi granulomètric per tamissat</t>
  </si>
  <si>
    <t>assaig de Limits d'Atterberg</t>
  </si>
  <si>
    <t>Compressió simple</t>
  </si>
  <si>
    <t>tall directe UU</t>
  </si>
  <si>
    <t>Tall directe CD</t>
  </si>
  <si>
    <t>Consolidació unidimensional</t>
  </si>
  <si>
    <t>Densitat aparent</t>
  </si>
  <si>
    <t>Humitat natural</t>
  </si>
  <si>
    <t xml:space="preserve">Agressivitat dels sòls </t>
  </si>
  <si>
    <t>Continugt en sulfats</t>
  </si>
  <si>
    <t>Agressiviitat de l'aigua</t>
  </si>
  <si>
    <t xml:space="preserve">Informe geotècnic </t>
  </si>
  <si>
    <t>Supervisió de treballs de camp</t>
  </si>
  <si>
    <t>ESTUDIS C0-C1</t>
  </si>
  <si>
    <t>SONDEIG A ROTAC IÓ</t>
  </si>
  <si>
    <t>Sondeig a rotació, inclòs desplaçament i SPT'S</t>
  </si>
  <si>
    <t>PA ASSAIG C0-C1</t>
  </si>
  <si>
    <t>PA ASSAIGS PATOLOGIES (Inclou Lambe si cal)</t>
  </si>
  <si>
    <t>PRESSUPOSTOS GEOTÈCCNICS C0-C1</t>
  </si>
  <si>
    <t>CALES</t>
  </si>
  <si>
    <t>Calicates mecàniques</t>
  </si>
  <si>
    <t>Recollida de mostres</t>
  </si>
  <si>
    <t xml:space="preserve">Cales manuals </t>
  </si>
  <si>
    <t>Testimonis de ferm (inclou obertura i tapat de l'obertura)</t>
  </si>
  <si>
    <t>Continugt en matèria orgànica</t>
  </si>
  <si>
    <t>Contingut en sals solubles</t>
  </si>
  <si>
    <t>Contingut en guixos</t>
  </si>
  <si>
    <t>Proctor Normal</t>
  </si>
  <si>
    <t>Proctor Modificat</t>
  </si>
  <si>
    <t>Assaig CBR</t>
  </si>
  <si>
    <t>Inflament lliure</t>
  </si>
  <si>
    <t>Colpase en sòls</t>
  </si>
  <si>
    <t>Alcali-silice</t>
  </si>
  <si>
    <t>testificació de treballs de camp</t>
  </si>
  <si>
    <t>TPS</t>
  </si>
  <si>
    <t>Calicata manual</t>
  </si>
  <si>
    <t>Testimoni de ferm</t>
  </si>
  <si>
    <t>SUBCONTRATACIÓN LABORATORI</t>
  </si>
  <si>
    <t>CAMP</t>
  </si>
  <si>
    <t>ARIADNA</t>
  </si>
  <si>
    <t>LEIAN</t>
  </si>
  <si>
    <t>EVA</t>
  </si>
  <si>
    <t>total</t>
  </si>
  <si>
    <t>SUBCONTRATACIÓN CALICATES</t>
  </si>
  <si>
    <t>hores de retro</t>
  </si>
  <si>
    <t>permisos</t>
  </si>
  <si>
    <t>DINAR</t>
  </si>
  <si>
    <t>ESMORZAR</t>
  </si>
  <si>
    <t>SOPAR</t>
  </si>
  <si>
    <t>ESMORZA</t>
  </si>
  <si>
    <t>GEOTÈCNIC SO</t>
  </si>
  <si>
    <t>GEO C0-C1</t>
  </si>
  <si>
    <t>GEO CALES</t>
  </si>
  <si>
    <t>GEO S+CA</t>
  </si>
  <si>
    <t>SOIL-ASSAIG</t>
  </si>
  <si>
    <t>ml penetració dinàmica DPSH</t>
  </si>
  <si>
    <t>km</t>
  </si>
  <si>
    <t>obertura de paviment</t>
  </si>
  <si>
    <t>Lambe</t>
  </si>
  <si>
    <t>Testificación de catas</t>
  </si>
  <si>
    <t>PA ASSAIGS PATOLOGIES</t>
  </si>
  <si>
    <t>ML PREVISTOS</t>
  </si>
  <si>
    <t>ml previ</t>
  </si>
  <si>
    <t>sot</t>
  </si>
  <si>
    <t>PA subministre d'aigua</t>
  </si>
  <si>
    <t>permeabilitat</t>
  </si>
  <si>
    <t>ml de perforació en sòls fins a 20 m</t>
  </si>
  <si>
    <t>mi</t>
  </si>
  <si>
    <t>ml piezometre</t>
  </si>
  <si>
    <t>PRESIOMETRES</t>
  </si>
  <si>
    <t>visita de seguiment</t>
  </si>
  <si>
    <t>PA d'aigua</t>
  </si>
  <si>
    <t>mostra inalterada</t>
  </si>
  <si>
    <t>inflament lliure</t>
  </si>
  <si>
    <t>compressió simple en roca</t>
  </si>
  <si>
    <t>compressió simple</t>
  </si>
  <si>
    <t>Agressivitat del sòls segons CE21</t>
  </si>
  <si>
    <t>Redacció i direcció de l'estudi geotècnic</t>
  </si>
  <si>
    <t>Organització i supervisió dels treballs de camp</t>
  </si>
  <si>
    <t xml:space="preserve"> </t>
  </si>
  <si>
    <t xml:space="preserve">  </t>
  </si>
  <si>
    <t>ml en roca tova fins a 20 m</t>
  </si>
  <si>
    <t>ML PREVI</t>
  </si>
  <si>
    <t>obertura paviment (45€/u)</t>
  </si>
  <si>
    <t>tall directe CD</t>
  </si>
  <si>
    <t xml:space="preserve">Deslpaçamento de técnic a obra I testificació </t>
  </si>
  <si>
    <t>recollida de mostres i transport al laboratori</t>
  </si>
  <si>
    <t>contingut en sulfats</t>
  </si>
  <si>
    <t>ASSAIGS DE LABORATORI MOSTRES SONDEIG</t>
  </si>
  <si>
    <t>ml revestiment de sondeig fins a 20 m</t>
  </si>
  <si>
    <t>Desplaçament a obra</t>
  </si>
  <si>
    <t>CALICATES MECÀNIQUES</t>
  </si>
  <si>
    <t>Supervisió i preparació de treballs de camp</t>
  </si>
  <si>
    <t>arqueta</t>
  </si>
  <si>
    <t>assaig de permeabilitat Lefranc</t>
  </si>
  <si>
    <t>ZONA DE ROTONDA</t>
  </si>
  <si>
    <t xml:space="preserve">PRESSUPOSTOS GEOTÈCCNICS </t>
  </si>
  <si>
    <t>ml previs SPT</t>
  </si>
  <si>
    <t xml:space="preserve">PA ASSAIG C0-C1 </t>
  </si>
  <si>
    <t>ml en roca dura fins a 20 m</t>
  </si>
  <si>
    <t>Estudi de patologies de vials</t>
  </si>
  <si>
    <t>Direcció i redacció de L'Estudi geotècnic</t>
  </si>
  <si>
    <t>ml de piezòmetre</t>
  </si>
  <si>
    <t>BCN</t>
  </si>
  <si>
    <t>EG 3 HAB UNIF CASTELLAR DEL VALLÈS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</si>
</sst>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#,##0.00\ &quot;€&quot;"/>
    <numFmt numFmtId="165" formatCode="_-* #,##0.00\ [$€-C0A]_-;\-* #,##0.00\ [$€-C0A]_-;_-* &quot;-&quot;??\ [$€-C0A]_-;_-@_-"/>
  </numFmts>
  <fonts count="5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70C0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rgb="FF0070C0"/>
      <name val="Arial"/>
      <family val="2"/>
    </font>
    <font>
      <b/>
      <sz val="11"/>
      <color theme="1"/>
      <name val="Segoe UI"/>
      <family val="2"/>
    </font>
    <font>
      <sz val="11"/>
      <color theme="1"/>
      <name val="Segoe UI"/>
      <family val="2"/>
    </font>
    <font>
      <sz val="9"/>
      <color theme="1"/>
      <name val="Calibri"/>
      <family val="2"/>
    </font>
    <font>
      <sz val="10"/>
      <name val="Arial"/>
      <family val="2"/>
    </font>
    <font>
      <sz val="11"/>
      <name val="Calibri"/>
      <family val="2"/>
      <scheme val="minor"/>
    </font>
    <font>
      <sz val="9"/>
      <name val="Calibri"/>
      <family val="2"/>
    </font>
    <font>
      <b/>
      <sz val="10"/>
      <name val="Arial"/>
      <family val="2"/>
    </font>
    <font>
      <b/>
      <sz val="11"/>
      <color rgb="FF0070C0"/>
      <name val="Calibri"/>
      <family val="2"/>
      <scheme val="minor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1"/>
      <name val="Tahoma"/>
      <family val="2"/>
    </font>
    <font>
      <sz val="6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rgb="FFFF0000"/>
      <name val="Arial"/>
      <family val="2"/>
    </font>
    <font>
      <b/>
      <sz val="10"/>
      <color indexed="8"/>
      <name val="Calibri"/>
      <family val="2"/>
      <scheme val="minor"/>
    </font>
    <font>
      <b/>
      <i/>
      <sz val="8"/>
      <color rgb="FF0070C0"/>
      <name val="Arial"/>
      <family val="2"/>
    </font>
    <font>
      <b/>
      <sz val="6"/>
      <name val="Arial"/>
      <family val="2"/>
    </font>
    <font>
      <sz val="8"/>
      <color rgb="FF000000"/>
      <name val="Arial"/>
      <family val="2"/>
    </font>
    <font>
      <b/>
      <i/>
      <u/>
      <sz val="10"/>
      <color indexed="8"/>
      <name val="Arial Narrow"/>
      <family val="2"/>
    </font>
    <font>
      <sz val="10"/>
      <name val="Arial Narrow"/>
      <family val="2"/>
    </font>
    <font>
      <sz val="10"/>
      <color indexed="8"/>
      <name val="Arial Narrow"/>
      <family val="2"/>
    </font>
    <font>
      <sz val="10"/>
      <color theme="1"/>
      <name val="Arial Narrow"/>
      <family val="2"/>
    </font>
    <font>
      <b/>
      <sz val="10"/>
      <color theme="0"/>
      <name val="Arial Narrow"/>
      <family val="2"/>
    </font>
    <font>
      <b/>
      <sz val="10"/>
      <color theme="1"/>
      <name val="Arial Narrow"/>
      <family val="2"/>
    </font>
    <font>
      <sz val="11"/>
      <color theme="1"/>
      <name val="Arial Narrow"/>
      <family val="2"/>
    </font>
    <font>
      <sz val="11"/>
      <name val="Arial Narrow"/>
      <family val="2"/>
    </font>
    <font>
      <sz val="10"/>
      <color theme="0"/>
      <name val="Arial Narrow"/>
      <family val="2"/>
    </font>
    <font>
      <sz val="10"/>
      <color rgb="FF000000"/>
      <name val="Arial Narrow"/>
      <family val="2"/>
    </font>
    <font>
      <b/>
      <sz val="12"/>
      <color theme="9" tint="-0.249977111117893"/>
      <name val="Arial"/>
      <family val="2"/>
    </font>
    <font>
      <b/>
      <i/>
      <sz val="8"/>
      <color theme="9" tint="-0.249977111117893"/>
      <name val="Arial"/>
      <family val="2"/>
    </font>
    <font>
      <b/>
      <sz val="8"/>
      <color theme="9" tint="-0.249977111117893"/>
      <name val="Arial"/>
      <family val="2"/>
    </font>
    <font>
      <sz val="11"/>
      <color theme="9" tint="-0.249977111117893"/>
      <name val="Calibri"/>
      <family val="2"/>
      <scheme val="minor"/>
    </font>
    <font>
      <u/>
      <sz val="11"/>
      <color theme="9" tint="-0.249977111117893"/>
      <name val="Calibri"/>
      <family val="2"/>
      <scheme val="minor"/>
    </font>
    <font>
      <i/>
      <u/>
      <sz val="7"/>
      <color theme="9" tint="-0.249977111117893"/>
      <name val="Arial"/>
      <family val="2"/>
    </font>
    <font>
      <sz val="8"/>
      <color theme="9" tint="-0.249977111117893"/>
      <name val="Arial"/>
      <family val="2"/>
    </font>
    <font>
      <b/>
      <sz val="8"/>
      <color theme="0"/>
      <name val="Arial"/>
      <family val="2"/>
    </font>
    <font>
      <b/>
      <i/>
      <sz val="8"/>
      <color theme="0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color rgb="FFFF0000"/>
      <name val="Arial Narrow"/>
      <family val="2"/>
    </font>
    <font>
      <sz val="11"/>
      <color rgb="FFFF0000"/>
      <name val="Calibri"/>
      <family val="2"/>
      <scheme val="minor"/>
    </font>
    <font>
      <sz val="10"/>
      <color rgb="FFFF0000"/>
      <name val="Arial Narrow"/>
      <family val="2"/>
    </font>
    <font>
      <b/>
      <i/>
      <sz val="11"/>
      <color rgb="FFFF0000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46AD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6"/>
      </patternFill>
    </fill>
    <fill>
      <patternFill patternType="solid">
        <fgColor theme="6" tint="0.59999389629810485"/>
        <bgColor indexed="65"/>
      </patternFill>
    </fill>
    <fill>
      <patternFill patternType="solid">
        <fgColor rgb="FF0070C0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4F9F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9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8" tint="0.39997558519241921"/>
      </left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/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  <border>
      <left/>
      <right style="thin">
        <color theme="8" tint="0.39997558519241921"/>
      </right>
      <top/>
      <bottom/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  <border>
      <left style="medium">
        <color theme="9" tint="0.39997558519241921"/>
      </left>
      <right style="medium">
        <color theme="9" tint="0.39997558519241921"/>
      </right>
      <top style="medium">
        <color theme="9" tint="0.39997558519241921"/>
      </top>
      <bottom style="medium">
        <color theme="9" tint="0.39997558519241921"/>
      </bottom>
      <diagonal/>
    </border>
    <border>
      <left style="medium">
        <color theme="9" tint="0.39997558519241921"/>
      </left>
      <right style="medium">
        <color theme="9" tint="0.39997558519241921"/>
      </right>
      <top style="medium">
        <color theme="9" tint="0.39997558519241921"/>
      </top>
      <bottom/>
      <diagonal/>
    </border>
    <border>
      <left style="medium">
        <color theme="9" tint="0.39997558519241921"/>
      </left>
      <right/>
      <top style="medium">
        <color theme="9" tint="0.39997558519241921"/>
      </top>
      <bottom style="medium">
        <color theme="9" tint="0.39997558519241921"/>
      </bottom>
      <diagonal/>
    </border>
    <border>
      <left/>
      <right/>
      <top style="medium">
        <color theme="9" tint="0.39997558519241921"/>
      </top>
      <bottom style="medium">
        <color theme="9" tint="0.39997558519241921"/>
      </bottom>
      <diagonal/>
    </border>
    <border>
      <left/>
      <right style="medium">
        <color theme="9" tint="0.39997558519241921"/>
      </right>
      <top style="medium">
        <color theme="9" tint="0.39997558519241921"/>
      </top>
      <bottom style="medium">
        <color theme="9" tint="0.39997558519241921"/>
      </bottom>
      <diagonal/>
    </border>
    <border>
      <left/>
      <right/>
      <top/>
      <bottom style="medium">
        <color rgb="FF4472C4"/>
      </bottom>
      <diagonal/>
    </border>
    <border>
      <left/>
      <right style="medium">
        <color rgb="FF4472C4"/>
      </right>
      <top/>
      <bottom style="medium">
        <color rgb="FF4472C4"/>
      </bottom>
      <diagonal/>
    </border>
    <border>
      <left style="medium">
        <color theme="9" tint="0.39994506668294322"/>
      </left>
      <right style="medium">
        <color theme="9" tint="0.39997558519241921"/>
      </right>
      <top style="medium">
        <color theme="9" tint="0.39997558519241921"/>
      </top>
      <bottom style="medium">
        <color theme="9" tint="0.39997558519241921"/>
      </bottom>
      <diagonal/>
    </border>
    <border>
      <left style="thin">
        <color theme="9" tint="0.39994506668294322"/>
      </left>
      <right style="thin">
        <color theme="9" tint="0.39994506668294322"/>
      </right>
      <top style="thin">
        <color theme="9" tint="0.39994506668294322"/>
      </top>
      <bottom style="thin">
        <color theme="9" tint="0.39994506668294322"/>
      </bottom>
      <diagonal/>
    </border>
    <border>
      <left style="thin">
        <color theme="9" tint="0.39994506668294322"/>
      </left>
      <right style="thin">
        <color theme="9" tint="0.39994506668294322"/>
      </right>
      <top style="thin">
        <color theme="9" tint="0.39994506668294322"/>
      </top>
      <bottom style="thin">
        <color theme="9" tint="0.39991454817346722"/>
      </bottom>
      <diagonal/>
    </border>
    <border>
      <left style="thin">
        <color theme="9" tint="0.39994506668294322"/>
      </left>
      <right style="thin">
        <color theme="9" tint="0.39994506668294322"/>
      </right>
      <top style="thin">
        <color theme="9" tint="0.39991454817346722"/>
      </top>
      <bottom style="thin">
        <color theme="9" tint="0.39991454817346722"/>
      </bottom>
      <diagonal/>
    </border>
    <border>
      <left style="thin">
        <color theme="9" tint="0.39994506668294322"/>
      </left>
      <right style="thin">
        <color theme="9" tint="0.39994506668294322"/>
      </right>
      <top style="thin">
        <color theme="9" tint="0.39991454817346722"/>
      </top>
      <bottom style="thin">
        <color theme="9" tint="0.39994506668294322"/>
      </bottom>
      <diagonal/>
    </border>
    <border>
      <left style="thin">
        <color theme="9" tint="0.39994506668294322"/>
      </left>
      <right style="thin">
        <color theme="9" tint="0.39994506668294322"/>
      </right>
      <top style="thick">
        <color theme="9" tint="0.39991454817346722"/>
      </top>
      <bottom style="thin">
        <color theme="9" tint="0.39991454817346722"/>
      </bottom>
      <diagonal/>
    </border>
    <border>
      <left style="thin">
        <color theme="9" tint="0.39994506668294322"/>
      </left>
      <right style="thin">
        <color theme="9" tint="0.39994506668294322"/>
      </right>
      <top style="thin">
        <color theme="9" tint="0.39991454817346722"/>
      </top>
      <bottom/>
      <diagonal/>
    </border>
    <border>
      <left/>
      <right style="thin">
        <color theme="8" tint="0.39997558519241921"/>
      </right>
      <top style="thin">
        <color theme="8" tint="0.39997558519241921"/>
      </top>
      <bottom/>
      <diagonal/>
    </border>
    <border>
      <left style="thin">
        <color theme="9" tint="0.39994506668294322"/>
      </left>
      <right style="thin">
        <color theme="9" tint="0.39994506668294322"/>
      </right>
      <top style="thick">
        <color theme="9" tint="0.39991454817346722"/>
      </top>
      <bottom style="thin">
        <color theme="9" tint="0.39994506668294322"/>
      </bottom>
      <diagonal/>
    </border>
    <border>
      <left style="thin">
        <color theme="9" tint="0.39994506668294322"/>
      </left>
      <right style="thin">
        <color theme="9" tint="0.39994506668294322"/>
      </right>
      <top style="thin">
        <color theme="9" tint="0.39994506668294322"/>
      </top>
      <bottom/>
      <diagonal/>
    </border>
    <border>
      <left style="medium">
        <color theme="9" tint="0.39994506668294322"/>
      </left>
      <right/>
      <top style="medium">
        <color theme="9" tint="0.39994506668294322"/>
      </top>
      <bottom style="medium">
        <color theme="9" tint="0.39994506668294322"/>
      </bottom>
      <diagonal/>
    </border>
    <border>
      <left/>
      <right style="medium">
        <color theme="9" tint="0.39994506668294322"/>
      </right>
      <top style="medium">
        <color theme="9" tint="0.39994506668294322"/>
      </top>
      <bottom style="medium">
        <color theme="9" tint="0.39994506668294322"/>
      </bottom>
      <diagonal/>
    </border>
    <border>
      <left style="medium">
        <color theme="9" tint="0.39997558519241921"/>
      </left>
      <right style="medium">
        <color theme="9" tint="0.39997558519241921"/>
      </right>
      <top/>
      <bottom/>
      <diagonal/>
    </border>
    <border>
      <left style="medium">
        <color theme="9" tint="0.39997558519241921"/>
      </left>
      <right/>
      <top/>
      <bottom/>
      <diagonal/>
    </border>
    <border>
      <left/>
      <right style="medium">
        <color theme="9" tint="0.39997558519241921"/>
      </right>
      <top/>
      <bottom/>
      <diagonal/>
    </border>
    <border>
      <left style="medium">
        <color theme="9" tint="0.39994506668294322"/>
      </left>
      <right style="medium">
        <color theme="9" tint="0.39997558519241921"/>
      </right>
      <top/>
      <bottom/>
      <diagonal/>
    </border>
    <border>
      <left style="thin">
        <color theme="8" tint="0.39997558519241921"/>
      </left>
      <right style="thin">
        <color rgb="FF008000"/>
      </right>
      <top style="thin">
        <color theme="8" tint="0.39997558519241921"/>
      </top>
      <bottom style="thin">
        <color theme="8" tint="0.39997558519241921"/>
      </bottom>
      <diagonal/>
    </border>
    <border>
      <left/>
      <right style="thin">
        <color rgb="FF008000"/>
      </right>
      <top/>
      <bottom/>
      <diagonal/>
    </border>
    <border>
      <left/>
      <right style="medium">
        <color rgb="FF4472C4"/>
      </right>
      <top/>
      <bottom/>
      <diagonal/>
    </border>
    <border>
      <left style="medium">
        <color theme="9" tint="0.39997558519241921"/>
      </left>
      <right style="medium">
        <color theme="9" tint="0.39997558519241921"/>
      </right>
      <top/>
      <bottom style="medium">
        <color theme="9" tint="0.39997558519241921"/>
      </bottom>
      <diagonal/>
    </border>
    <border>
      <left style="thick">
        <color rgb="FFFF0000"/>
      </left>
      <right style="medium">
        <color theme="9" tint="0.39997558519241921"/>
      </right>
      <top style="thick">
        <color rgb="FFFF0000"/>
      </top>
      <bottom/>
      <diagonal/>
    </border>
    <border>
      <left style="medium">
        <color theme="9" tint="0.39997558519241921"/>
      </left>
      <right style="medium">
        <color theme="9" tint="0.39997558519241921"/>
      </right>
      <top style="thick">
        <color rgb="FFFF0000"/>
      </top>
      <bottom/>
      <diagonal/>
    </border>
    <border>
      <left style="medium">
        <color theme="9" tint="0.39997558519241921"/>
      </left>
      <right style="thick">
        <color rgb="FFFF0000"/>
      </right>
      <top style="thick">
        <color rgb="FFFF0000"/>
      </top>
      <bottom/>
      <diagonal/>
    </border>
    <border>
      <left style="thick">
        <color rgb="FFFF0000"/>
      </left>
      <right style="medium">
        <color theme="9" tint="0.39997558519241921"/>
      </right>
      <top/>
      <bottom/>
      <diagonal/>
    </border>
    <border>
      <left/>
      <right style="thick">
        <color rgb="FFFF0000"/>
      </right>
      <top/>
      <bottom/>
      <diagonal/>
    </border>
    <border>
      <left style="thick">
        <color rgb="FFFF0000"/>
      </left>
      <right/>
      <top/>
      <bottom/>
      <diagonal/>
    </border>
    <border>
      <left style="thick">
        <color rgb="FFFF0000"/>
      </left>
      <right/>
      <top/>
      <bottom style="thick">
        <color rgb="FFFF0000"/>
      </bottom>
      <diagonal/>
    </border>
    <border>
      <left/>
      <right/>
      <top/>
      <bottom style="thick">
        <color rgb="FFFF0000"/>
      </bottom>
      <diagonal/>
    </border>
    <border>
      <left/>
      <right style="medium">
        <color rgb="FF4472C4"/>
      </right>
      <top/>
      <bottom style="thick">
        <color rgb="FFFF0000"/>
      </bottom>
      <diagonal/>
    </border>
    <border>
      <left/>
      <right style="thick">
        <color rgb="FFFF0000"/>
      </right>
      <top/>
      <bottom style="thick">
        <color rgb="FFFF0000"/>
      </bottom>
      <diagonal/>
    </border>
  </borders>
  <cellStyleXfs count="7">
    <xf numFmtId="0" fontId="0" fillId="0" borderId="0"/>
    <xf numFmtId="0" fontId="10" fillId="0" borderId="0" applyBorder="0"/>
    <xf numFmtId="0" fontId="10" fillId="0" borderId="0"/>
    <xf numFmtId="0" fontId="16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4" borderId="0" applyNumberFormat="0" applyBorder="0" applyAlignment="0" applyProtection="0"/>
  </cellStyleXfs>
  <cellXfs count="429">
    <xf numFmtId="0" fontId="0" fillId="0" borderId="0" xfId="0"/>
    <xf numFmtId="0" fontId="5" fillId="0" borderId="0" xfId="0" applyFont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left"/>
    </xf>
    <xf numFmtId="0" fontId="7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vertical="center" wrapText="1"/>
    </xf>
    <xf numFmtId="0" fontId="0" fillId="3" borderId="5" xfId="0" applyFill="1" applyBorder="1"/>
    <xf numFmtId="0" fontId="0" fillId="0" borderId="5" xfId="0" applyBorder="1"/>
    <xf numFmtId="0" fontId="9" fillId="0" borderId="5" xfId="0" applyFont="1" applyBorder="1" applyAlignment="1">
      <alignment vertical="top"/>
    </xf>
    <xf numFmtId="0" fontId="11" fillId="0" borderId="7" xfId="1" applyFont="1" applyBorder="1"/>
    <xf numFmtId="0" fontId="0" fillId="0" borderId="7" xfId="0" applyBorder="1"/>
    <xf numFmtId="2" fontId="0" fillId="0" borderId="7" xfId="0" applyNumberFormat="1" applyBorder="1"/>
    <xf numFmtId="0" fontId="11" fillId="4" borderId="7" xfId="2" applyFont="1" applyFill="1" applyBorder="1" applyProtection="1">
      <protection locked="0"/>
    </xf>
    <xf numFmtId="0" fontId="12" fillId="0" borderId="5" xfId="0" applyFont="1" applyBorder="1" applyAlignment="1">
      <alignment vertical="top"/>
    </xf>
    <xf numFmtId="0" fontId="11" fillId="0" borderId="5" xfId="1" applyFont="1" applyBorder="1" applyAlignment="1">
      <alignment horizontal="left" vertical="top"/>
    </xf>
    <xf numFmtId="2" fontId="0" fillId="0" borderId="5" xfId="0" applyNumberFormat="1" applyBorder="1"/>
    <xf numFmtId="0" fontId="11" fillId="4" borderId="5" xfId="2" applyFont="1" applyFill="1" applyBorder="1" applyAlignment="1" applyProtection="1">
      <alignment horizontal="left"/>
      <protection locked="0"/>
    </xf>
    <xf numFmtId="2" fontId="0" fillId="0" borderId="5" xfId="0" applyNumberFormat="1" applyBorder="1" applyAlignment="1">
      <alignment horizontal="left" vertical="top"/>
    </xf>
    <xf numFmtId="0" fontId="13" fillId="2" borderId="8" xfId="1" applyFont="1" applyFill="1" applyBorder="1" applyAlignment="1">
      <alignment horizontal="left" vertical="top" wrapText="1"/>
    </xf>
    <xf numFmtId="0" fontId="0" fillId="0" borderId="9" xfId="0" applyBorder="1"/>
    <xf numFmtId="0" fontId="9" fillId="0" borderId="9" xfId="0" applyFont="1" applyBorder="1" applyAlignment="1">
      <alignment vertical="top"/>
    </xf>
    <xf numFmtId="0" fontId="0" fillId="0" borderId="2" xfId="0" applyBorder="1"/>
    <xf numFmtId="2" fontId="0" fillId="0" borderId="9" xfId="0" applyNumberFormat="1" applyBorder="1" applyAlignment="1">
      <alignment horizontal="left" vertical="top"/>
    </xf>
    <xf numFmtId="0" fontId="1" fillId="5" borderId="0" xfId="0" applyFont="1" applyFill="1" applyAlignment="1">
      <alignment horizontal="center"/>
    </xf>
    <xf numFmtId="0" fontId="0" fillId="6" borderId="10" xfId="0" applyFill="1" applyBorder="1" applyAlignment="1">
      <alignment horizontal="center" vertical="center" wrapText="1"/>
    </xf>
    <xf numFmtId="0" fontId="0" fillId="6" borderId="12" xfId="0" applyFill="1" applyBorder="1" applyAlignment="1">
      <alignment horizontal="center" vertical="center"/>
    </xf>
    <xf numFmtId="0" fontId="0" fillId="6" borderId="12" xfId="0" applyFill="1" applyBorder="1" applyAlignment="1">
      <alignment horizontal="left" vertical="center" wrapText="1"/>
    </xf>
    <xf numFmtId="0" fontId="0" fillId="6" borderId="13" xfId="0" applyFill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/>
    </xf>
    <xf numFmtId="0" fontId="0" fillId="6" borderId="14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/>
    </xf>
    <xf numFmtId="0" fontId="0" fillId="6" borderId="5" xfId="0" applyFill="1" applyBorder="1" applyAlignment="1">
      <alignment horizontal="left" vertical="center" wrapText="1"/>
    </xf>
    <xf numFmtId="0" fontId="0" fillId="6" borderId="16" xfId="0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/>
    </xf>
    <xf numFmtId="0" fontId="0" fillId="6" borderId="17" xfId="0" applyFill="1" applyBorder="1" applyAlignment="1">
      <alignment horizontal="center" vertical="center" wrapText="1"/>
    </xf>
    <xf numFmtId="0" fontId="0" fillId="6" borderId="19" xfId="0" applyFill="1" applyBorder="1" applyAlignment="1">
      <alignment horizontal="center" vertical="center"/>
    </xf>
    <xf numFmtId="0" fontId="0" fillId="6" borderId="19" xfId="0" applyFill="1" applyBorder="1" applyAlignment="1">
      <alignment horizontal="left" vertical="center" wrapText="1"/>
    </xf>
    <xf numFmtId="0" fontId="0" fillId="6" borderId="20" xfId="0" applyFill="1" applyBorder="1" applyAlignment="1">
      <alignment horizontal="center" vertical="center" wrapText="1"/>
    </xf>
    <xf numFmtId="0" fontId="14" fillId="0" borderId="17" xfId="0" applyFont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6" borderId="9" xfId="0" applyFill="1" applyBorder="1" applyAlignment="1">
      <alignment horizontal="left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horizontal="left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9" xfId="0" applyBorder="1" applyAlignment="1">
      <alignment horizontal="left" vertical="center" wrapText="1"/>
    </xf>
    <xf numFmtId="0" fontId="0" fillId="0" borderId="20" xfId="0" applyBorder="1" applyAlignment="1">
      <alignment horizontal="center" vertical="center" wrapText="1"/>
    </xf>
    <xf numFmtId="0" fontId="0" fillId="6" borderId="26" xfId="0" applyFill="1" applyBorder="1" applyAlignment="1">
      <alignment horizontal="center" vertical="center" wrapText="1"/>
    </xf>
    <xf numFmtId="0" fontId="0" fillId="6" borderId="13" xfId="0" quotePrefix="1" applyFill="1" applyBorder="1" applyAlignment="1">
      <alignment horizontal="center" vertical="center" wrapText="1"/>
    </xf>
    <xf numFmtId="0" fontId="0" fillId="6" borderId="28" xfId="0" applyFill="1" applyBorder="1" applyAlignment="1">
      <alignment horizontal="center" vertical="center" wrapText="1"/>
    </xf>
    <xf numFmtId="0" fontId="0" fillId="6" borderId="30" xfId="0" applyFill="1" applyBorder="1" applyAlignment="1">
      <alignment horizontal="center" vertical="center" wrapText="1"/>
    </xf>
    <xf numFmtId="0" fontId="0" fillId="6" borderId="32" xfId="0" applyFill="1" applyBorder="1" applyAlignment="1">
      <alignment horizontal="center" vertical="center" wrapText="1"/>
    </xf>
    <xf numFmtId="0" fontId="0" fillId="7" borderId="34" xfId="0" applyFill="1" applyBorder="1" applyAlignment="1">
      <alignment horizontal="left" vertical="center" wrapText="1"/>
    </xf>
    <xf numFmtId="0" fontId="2" fillId="7" borderId="34" xfId="0" applyFont="1" applyFill="1" applyBorder="1" applyAlignment="1">
      <alignment horizontal="center" vertical="center" wrapText="1"/>
    </xf>
    <xf numFmtId="0" fontId="0" fillId="6" borderId="7" xfId="0" applyFill="1" applyBorder="1" applyAlignment="1">
      <alignment horizontal="left" vertical="center" wrapText="1"/>
    </xf>
    <xf numFmtId="0" fontId="0" fillId="6" borderId="16" xfId="0" quotePrefix="1" applyFill="1" applyBorder="1" applyAlignment="1">
      <alignment horizontal="center" vertical="center" wrapText="1"/>
    </xf>
    <xf numFmtId="0" fontId="2" fillId="6" borderId="7" xfId="0" applyFont="1" applyFill="1" applyBorder="1" applyAlignment="1">
      <alignment horizontal="center" vertical="center" wrapText="1"/>
    </xf>
    <xf numFmtId="0" fontId="2" fillId="8" borderId="7" xfId="0" applyFont="1" applyFill="1" applyBorder="1" applyAlignment="1">
      <alignment horizontal="left" vertical="center" wrapText="1"/>
    </xf>
    <xf numFmtId="0" fontId="2" fillId="8" borderId="7" xfId="0" applyFont="1" applyFill="1" applyBorder="1" applyAlignment="1">
      <alignment horizontal="center" vertical="center" wrapText="1"/>
    </xf>
    <xf numFmtId="0" fontId="0" fillId="9" borderId="7" xfId="0" applyFill="1" applyBorder="1" applyAlignment="1">
      <alignment horizontal="left" vertical="center" wrapText="1"/>
    </xf>
    <xf numFmtId="0" fontId="2" fillId="9" borderId="7" xfId="0" applyFont="1" applyFill="1" applyBorder="1" applyAlignment="1">
      <alignment horizontal="center" vertical="center" wrapText="1"/>
    </xf>
    <xf numFmtId="0" fontId="0" fillId="10" borderId="38" xfId="0" applyFill="1" applyBorder="1" applyAlignment="1">
      <alignment horizontal="left" vertical="center" wrapText="1"/>
    </xf>
    <xf numFmtId="0" fontId="0" fillId="6" borderId="20" xfId="0" quotePrefix="1" applyFill="1" applyBorder="1" applyAlignment="1">
      <alignment horizontal="center" vertical="center" wrapText="1"/>
    </xf>
    <xf numFmtId="0" fontId="2" fillId="10" borderId="38" xfId="0" applyFont="1" applyFill="1" applyBorder="1" applyAlignment="1">
      <alignment horizontal="center" vertical="center" wrapText="1"/>
    </xf>
    <xf numFmtId="0" fontId="15" fillId="0" borderId="0" xfId="0" applyFont="1"/>
    <xf numFmtId="0" fontId="8" fillId="0" borderId="5" xfId="0" applyFont="1" applyBorder="1" applyAlignment="1">
      <alignment horizontal="center" vertical="center" wrapText="1"/>
    </xf>
    <xf numFmtId="0" fontId="5" fillId="0" borderId="0" xfId="0" applyFont="1"/>
    <xf numFmtId="0" fontId="5" fillId="0" borderId="0" xfId="0" applyFont="1" applyAlignment="1">
      <alignment horizontal="center" vertical="center"/>
    </xf>
    <xf numFmtId="3" fontId="4" fillId="0" borderId="5" xfId="0" applyNumberFormat="1" applyFont="1" applyBorder="1" applyAlignment="1">
      <alignment horizontal="center" vertical="center"/>
    </xf>
    <xf numFmtId="0" fontId="0" fillId="13" borderId="0" xfId="0" applyFill="1"/>
    <xf numFmtId="0" fontId="20" fillId="0" borderId="0" xfId="0" applyFont="1" applyAlignment="1">
      <alignment horizontal="center" vertical="center"/>
    </xf>
    <xf numFmtId="0" fontId="2" fillId="0" borderId="0" xfId="0" applyFont="1"/>
    <xf numFmtId="0" fontId="6" fillId="0" borderId="5" xfId="0" applyFont="1" applyBorder="1" applyAlignment="1" applyProtection="1">
      <alignment vertical="center"/>
      <protection locked="0"/>
    </xf>
    <xf numFmtId="165" fontId="13" fillId="0" borderId="0" xfId="0" applyNumberFormat="1" applyFont="1"/>
    <xf numFmtId="165" fontId="24" fillId="0" borderId="0" xfId="0" applyNumberFormat="1" applyFont="1" applyAlignment="1">
      <alignment horizontal="center" vertical="center"/>
    </xf>
    <xf numFmtId="0" fontId="0" fillId="0" borderId="0" xfId="0" applyAlignment="1">
      <alignment horizontal="right"/>
    </xf>
    <xf numFmtId="0" fontId="27" fillId="0" borderId="5" xfId="0" applyFont="1" applyBorder="1" applyAlignment="1" applyProtection="1">
      <alignment horizontal="center" vertical="center"/>
      <protection locked="0"/>
    </xf>
    <xf numFmtId="164" fontId="17" fillId="0" borderId="0" xfId="5" applyNumberFormat="1" applyFill="1" applyBorder="1" applyAlignment="1">
      <alignment horizontal="center" vertical="top" wrapText="1"/>
    </xf>
    <xf numFmtId="0" fontId="25" fillId="0" borderId="0" xfId="0" applyFont="1" applyAlignment="1">
      <alignment horizontal="justify" vertical="top" wrapText="1"/>
    </xf>
    <xf numFmtId="164" fontId="23" fillId="0" borderId="0" xfId="0" applyNumberFormat="1" applyFont="1" applyAlignment="1">
      <alignment horizontal="center" vertical="center" wrapText="1"/>
    </xf>
    <xf numFmtId="0" fontId="22" fillId="0" borderId="0" xfId="0" quotePrefix="1" applyFont="1" applyAlignment="1">
      <alignment horizontal="center" vertical="center"/>
    </xf>
    <xf numFmtId="164" fontId="23" fillId="0" borderId="0" xfId="0" quotePrefix="1" applyNumberFormat="1" applyFont="1" applyAlignment="1">
      <alignment horizontal="center" vertical="center" wrapText="1"/>
    </xf>
    <xf numFmtId="164" fontId="21" fillId="0" borderId="0" xfId="4" applyNumberFormat="1" applyFont="1" applyFill="1" applyBorder="1" applyAlignment="1">
      <alignment horizontal="center" vertical="center" wrapText="1"/>
    </xf>
    <xf numFmtId="165" fontId="0" fillId="0" borderId="0" xfId="0" applyNumberFormat="1" applyAlignment="1">
      <alignment horizontal="center" vertical="center"/>
    </xf>
    <xf numFmtId="164" fontId="0" fillId="0" borderId="0" xfId="0" applyNumberFormat="1"/>
    <xf numFmtId="164" fontId="2" fillId="0" borderId="0" xfId="0" applyNumberFormat="1" applyFont="1"/>
    <xf numFmtId="164" fontId="0" fillId="0" borderId="0" xfId="0" applyNumberFormat="1" applyAlignment="1">
      <alignment vertical="center"/>
    </xf>
    <xf numFmtId="165" fontId="0" fillId="0" borderId="0" xfId="0" applyNumberFormat="1"/>
    <xf numFmtId="164" fontId="31" fillId="0" borderId="0" xfId="0" applyNumberFormat="1" applyFont="1" applyAlignment="1">
      <alignment horizontal="center" vertical="top" wrapText="1"/>
    </xf>
    <xf numFmtId="0" fontId="33" fillId="0" borderId="0" xfId="4" applyFont="1" applyFill="1" applyBorder="1" applyAlignment="1">
      <alignment horizontal="center" vertical="top" wrapText="1"/>
    </xf>
    <xf numFmtId="0" fontId="32" fillId="0" borderId="0" xfId="5" applyFont="1" applyFill="1" applyBorder="1" applyAlignment="1">
      <alignment horizontal="center" vertical="top" wrapText="1"/>
    </xf>
    <xf numFmtId="0" fontId="30" fillId="0" borderId="0" xfId="0" applyFont="1" applyAlignment="1">
      <alignment horizontal="center" vertical="top" wrapText="1"/>
    </xf>
    <xf numFmtId="164" fontId="32" fillId="0" borderId="0" xfId="5" applyNumberFormat="1" applyFont="1" applyFill="1" applyBorder="1" applyAlignment="1">
      <alignment horizontal="center" vertical="center" wrapText="1"/>
    </xf>
    <xf numFmtId="164" fontId="31" fillId="0" borderId="0" xfId="0" quotePrefix="1" applyNumberFormat="1" applyFont="1" applyAlignment="1">
      <alignment horizontal="center" vertical="top" wrapText="1"/>
    </xf>
    <xf numFmtId="164" fontId="32" fillId="0" borderId="0" xfId="5" applyNumberFormat="1" applyFont="1" applyFill="1" applyBorder="1" applyAlignment="1">
      <alignment horizontal="center" vertical="top" wrapText="1"/>
    </xf>
    <xf numFmtId="164" fontId="31" fillId="0" borderId="0" xfId="0" applyNumberFormat="1" applyFont="1" applyAlignment="1">
      <alignment horizontal="center" vertical="center" wrapText="1"/>
    </xf>
    <xf numFmtId="164" fontId="33" fillId="0" borderId="0" xfId="4" applyNumberFormat="1" applyFont="1" applyFill="1" applyBorder="1" applyAlignment="1">
      <alignment horizontal="center" vertical="center" wrapText="1"/>
    </xf>
    <xf numFmtId="0" fontId="35" fillId="0" borderId="0" xfId="0" applyFont="1"/>
    <xf numFmtId="0" fontId="30" fillId="0" borderId="0" xfId="0" applyFont="1"/>
    <xf numFmtId="0" fontId="32" fillId="0" borderId="0" xfId="0" applyFont="1"/>
    <xf numFmtId="0" fontId="32" fillId="0" borderId="50" xfId="0" applyFont="1" applyBorder="1"/>
    <xf numFmtId="164" fontId="32" fillId="0" borderId="50" xfId="0" applyNumberFormat="1" applyFont="1" applyBorder="1" applyAlignment="1">
      <alignment horizontal="center"/>
    </xf>
    <xf numFmtId="165" fontId="11" fillId="0" borderId="0" xfId="0" applyNumberFormat="1" applyFont="1" applyAlignment="1">
      <alignment horizontal="center" vertical="center"/>
    </xf>
    <xf numFmtId="0" fontId="5" fillId="0" borderId="0" xfId="6" applyFont="1" applyFill="1" applyBorder="1" applyAlignment="1">
      <alignment horizontal="left" vertical="top"/>
    </xf>
    <xf numFmtId="0" fontId="28" fillId="0" borderId="0" xfId="0" applyFont="1" applyAlignment="1">
      <alignment horizontal="left" vertical="top"/>
    </xf>
    <xf numFmtId="164" fontId="0" fillId="0" borderId="0" xfId="0" applyNumberForma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0" fillId="0" borderId="50" xfId="0" applyBorder="1"/>
    <xf numFmtId="0" fontId="0" fillId="0" borderId="50" xfId="0" applyBorder="1" applyAlignment="1">
      <alignment horizontal="center"/>
    </xf>
    <xf numFmtId="164" fontId="32" fillId="0" borderId="50" xfId="0" applyNumberFormat="1" applyFont="1" applyBorder="1" applyAlignment="1">
      <alignment horizontal="center" vertical="center"/>
    </xf>
    <xf numFmtId="0" fontId="41" fillId="15" borderId="5" xfId="0" applyFont="1" applyFill="1" applyBorder="1" applyAlignment="1">
      <alignment horizontal="center" vertical="center"/>
    </xf>
    <xf numFmtId="0" fontId="0" fillId="16" borderId="0" xfId="0" applyFill="1"/>
    <xf numFmtId="0" fontId="32" fillId="15" borderId="57" xfId="5" applyFont="1" applyFill="1" applyBorder="1" applyAlignment="1">
      <alignment horizontal="center" vertical="top" wrapText="1"/>
    </xf>
    <xf numFmtId="0" fontId="29" fillId="0" borderId="51" xfId="0" applyFont="1" applyBorder="1" applyAlignment="1">
      <alignment horizontal="left" vertical="center" wrapText="1"/>
    </xf>
    <xf numFmtId="0" fontId="31" fillId="0" borderId="51" xfId="0" applyFont="1" applyBorder="1" applyAlignment="1">
      <alignment vertical="top" wrapText="1"/>
    </xf>
    <xf numFmtId="0" fontId="31" fillId="0" borderId="51" xfId="0" applyFont="1" applyBorder="1" applyAlignment="1">
      <alignment horizontal="left" vertical="top" wrapText="1"/>
    </xf>
    <xf numFmtId="0" fontId="30" fillId="0" borderId="57" xfId="0" applyFont="1" applyBorder="1" applyAlignment="1">
      <alignment horizontal="center" vertical="top" wrapText="1"/>
    </xf>
    <xf numFmtId="0" fontId="31" fillId="0" borderId="57" xfId="0" applyFont="1" applyBorder="1" applyAlignment="1">
      <alignment horizontal="center" vertical="top" wrapText="1"/>
    </xf>
    <xf numFmtId="164" fontId="31" fillId="0" borderId="57" xfId="0" applyNumberFormat="1" applyFont="1" applyBorder="1" applyAlignment="1">
      <alignment horizontal="center" vertical="top" wrapText="1"/>
    </xf>
    <xf numFmtId="0" fontId="31" fillId="0" borderId="57" xfId="0" quotePrefix="1" applyFont="1" applyBorder="1" applyAlignment="1">
      <alignment horizontal="center" vertical="top" wrapText="1"/>
    </xf>
    <xf numFmtId="0" fontId="31" fillId="0" borderId="58" xfId="0" applyFont="1" applyBorder="1" applyAlignment="1">
      <alignment horizontal="center" vertical="top" wrapText="1"/>
    </xf>
    <xf numFmtId="164" fontId="31" fillId="0" borderId="58" xfId="0" applyNumberFormat="1" applyFont="1" applyBorder="1" applyAlignment="1">
      <alignment horizontal="center" vertical="top" wrapText="1"/>
    </xf>
    <xf numFmtId="0" fontId="30" fillId="0" borderId="57" xfId="0" applyFont="1" applyBorder="1" applyAlignment="1">
      <alignment horizontal="right" vertical="top" wrapText="1"/>
    </xf>
    <xf numFmtId="164" fontId="31" fillId="0" borderId="57" xfId="0" quotePrefix="1" applyNumberFormat="1" applyFont="1" applyBorder="1" applyAlignment="1">
      <alignment horizontal="center" vertical="top" wrapText="1"/>
    </xf>
    <xf numFmtId="164" fontId="32" fillId="15" borderId="57" xfId="5" applyNumberFormat="1" applyFont="1" applyFill="1" applyBorder="1" applyAlignment="1">
      <alignment horizontal="center" vertical="top" wrapText="1"/>
    </xf>
    <xf numFmtId="0" fontId="31" fillId="0" borderId="51" xfId="0" applyFont="1" applyBorder="1" applyAlignment="1">
      <alignment horizontal="left" vertical="center" wrapText="1"/>
    </xf>
    <xf numFmtId="0" fontId="31" fillId="0" borderId="57" xfId="0" applyFont="1" applyBorder="1" applyAlignment="1">
      <alignment horizontal="center" vertical="center" wrapText="1"/>
    </xf>
    <xf numFmtId="164" fontId="31" fillId="0" borderId="57" xfId="0" applyNumberFormat="1" applyFont="1" applyBorder="1" applyAlignment="1">
      <alignment horizontal="center" vertical="center" wrapText="1"/>
    </xf>
    <xf numFmtId="0" fontId="30" fillId="0" borderId="57" xfId="0" quotePrefix="1" applyFont="1" applyBorder="1" applyAlignment="1">
      <alignment horizontal="center" vertical="center"/>
    </xf>
    <xf numFmtId="164" fontId="33" fillId="17" borderId="63" xfId="4" applyNumberFormat="1" applyFont="1" applyFill="1" applyBorder="1" applyAlignment="1">
      <alignment horizontal="center" vertical="center" wrapText="1"/>
    </xf>
    <xf numFmtId="0" fontId="31" fillId="0" borderId="0" xfId="0" applyFont="1" applyAlignment="1">
      <alignment horizontal="justify" vertical="top" wrapText="1"/>
    </xf>
    <xf numFmtId="164" fontId="32" fillId="15" borderId="61" xfId="5" applyNumberFormat="1" applyFont="1" applyFill="1" applyBorder="1" applyAlignment="1">
      <alignment vertical="center" wrapText="1"/>
    </xf>
    <xf numFmtId="164" fontId="32" fillId="15" borderId="61" xfId="5" applyNumberFormat="1" applyFont="1" applyFill="1" applyBorder="1" applyAlignment="1">
      <alignment vertical="top" wrapText="1"/>
    </xf>
    <xf numFmtId="164" fontId="32" fillId="15" borderId="61" xfId="5" applyNumberFormat="1" applyFont="1" applyFill="1" applyBorder="1" applyAlignment="1">
      <alignment horizontal="center" vertical="center" wrapText="1"/>
    </xf>
    <xf numFmtId="0" fontId="31" fillId="0" borderId="0" xfId="0" applyFont="1" applyAlignment="1">
      <alignment vertical="top" wrapText="1"/>
    </xf>
    <xf numFmtId="0" fontId="31" fillId="0" borderId="59" xfId="0" quotePrefix="1" applyFont="1" applyBorder="1" applyAlignment="1">
      <alignment horizontal="center" vertical="top" wrapText="1"/>
    </xf>
    <xf numFmtId="164" fontId="31" fillId="0" borderId="64" xfId="0" applyNumberFormat="1" applyFont="1" applyBorder="1" applyAlignment="1">
      <alignment horizontal="center" vertical="top" wrapText="1"/>
    </xf>
    <xf numFmtId="0" fontId="33" fillId="17" borderId="51" xfId="0" applyFont="1" applyFill="1" applyBorder="1" applyAlignment="1">
      <alignment horizontal="center" vertical="top" wrapText="1"/>
    </xf>
    <xf numFmtId="44" fontId="33" fillId="17" borderId="52" xfId="0" applyNumberFormat="1" applyFont="1" applyFill="1" applyBorder="1" applyAlignment="1">
      <alignment horizontal="center" vertical="top" wrapText="1"/>
    </xf>
    <xf numFmtId="0" fontId="37" fillId="17" borderId="54" xfId="0" applyFont="1" applyFill="1" applyBorder="1"/>
    <xf numFmtId="0" fontId="37" fillId="17" borderId="54" xfId="0" applyFont="1" applyFill="1" applyBorder="1" applyAlignment="1">
      <alignment vertical="center"/>
    </xf>
    <xf numFmtId="0" fontId="37" fillId="17" borderId="54" xfId="0" quotePrefix="1" applyFont="1" applyFill="1" applyBorder="1"/>
    <xf numFmtId="44" fontId="35" fillId="0" borderId="66" xfId="0" applyNumberFormat="1" applyFont="1" applyBorder="1"/>
    <xf numFmtId="165" fontId="35" fillId="0" borderId="67" xfId="0" applyNumberFormat="1" applyFont="1" applyBorder="1" applyAlignment="1">
      <alignment horizontal="center" vertical="center"/>
    </xf>
    <xf numFmtId="165" fontId="35" fillId="0" borderId="67" xfId="0" applyNumberFormat="1" applyFont="1" applyBorder="1" applyAlignment="1">
      <alignment vertical="center"/>
    </xf>
    <xf numFmtId="44" fontId="36" fillId="0" borderId="67" xfId="0" applyNumberFormat="1" applyFont="1" applyBorder="1" applyAlignment="1">
      <alignment horizontal="center"/>
    </xf>
    <xf numFmtId="0" fontId="35" fillId="0" borderId="67" xfId="0" applyFont="1" applyBorder="1"/>
    <xf numFmtId="165" fontId="35" fillId="0" borderId="68" xfId="0" applyNumberFormat="1" applyFont="1" applyBorder="1" applyAlignment="1">
      <alignment horizontal="center" vertical="center"/>
    </xf>
    <xf numFmtId="164" fontId="35" fillId="0" borderId="68" xfId="0" applyNumberFormat="1" applyFont="1" applyBorder="1"/>
    <xf numFmtId="0" fontId="37" fillId="17" borderId="54" xfId="0" applyFont="1" applyFill="1" applyBorder="1" applyAlignment="1">
      <alignment wrapText="1"/>
    </xf>
    <xf numFmtId="165" fontId="35" fillId="0" borderId="70" xfId="0" applyNumberFormat="1" applyFont="1" applyBorder="1" applyAlignment="1">
      <alignment horizontal="center" vertical="center"/>
    </xf>
    <xf numFmtId="165" fontId="35" fillId="0" borderId="69" xfId="0" applyNumberFormat="1" applyFont="1" applyBorder="1" applyAlignment="1">
      <alignment horizontal="center" vertical="center"/>
    </xf>
    <xf numFmtId="0" fontId="33" fillId="0" borderId="0" xfId="0" applyFont="1"/>
    <xf numFmtId="165" fontId="37" fillId="0" borderId="0" xfId="0" applyNumberFormat="1" applyFont="1"/>
    <xf numFmtId="164" fontId="32" fillId="0" borderId="50" xfId="0" applyNumberFormat="1" applyFont="1" applyBorder="1"/>
    <xf numFmtId="0" fontId="32" fillId="0" borderId="54" xfId="0" applyFont="1" applyBorder="1" applyAlignment="1">
      <alignment horizontal="left" vertical="center"/>
    </xf>
    <xf numFmtId="0" fontId="38" fillId="0" borderId="54" xfId="0" applyFont="1" applyBorder="1" applyAlignment="1">
      <alignment horizontal="left" vertical="center"/>
    </xf>
    <xf numFmtId="0" fontId="38" fillId="0" borderId="54" xfId="0" applyFont="1" applyBorder="1" applyAlignment="1">
      <alignment horizontal="left" vertical="top"/>
    </xf>
    <xf numFmtId="0" fontId="38" fillId="0" borderId="55" xfId="0" applyFont="1" applyBorder="1" applyAlignment="1">
      <alignment horizontal="left" vertical="center"/>
    </xf>
    <xf numFmtId="0" fontId="38" fillId="0" borderId="71" xfId="0" applyFont="1" applyBorder="1"/>
    <xf numFmtId="164" fontId="32" fillId="0" borderId="65" xfId="0" applyNumberFormat="1" applyFont="1" applyBorder="1" applyAlignment="1">
      <alignment horizontal="left" vertical="center"/>
    </xf>
    <xf numFmtId="0" fontId="32" fillId="15" borderId="65" xfId="0" applyFont="1" applyFill="1" applyBorder="1" applyAlignment="1">
      <alignment horizontal="left" vertical="center"/>
    </xf>
    <xf numFmtId="0" fontId="33" fillId="0" borderId="65" xfId="0" applyFont="1" applyBorder="1" applyAlignment="1">
      <alignment horizontal="center"/>
    </xf>
    <xf numFmtId="0" fontId="32" fillId="15" borderId="65" xfId="0" applyFont="1" applyFill="1" applyBorder="1"/>
    <xf numFmtId="0" fontId="38" fillId="15" borderId="65" xfId="0" applyFont="1" applyFill="1" applyBorder="1" applyAlignment="1">
      <alignment horizontal="left" vertical="center"/>
    </xf>
    <xf numFmtId="0" fontId="30" fillId="18" borderId="65" xfId="0" applyFont="1" applyFill="1" applyBorder="1" applyAlignment="1">
      <alignment horizontal="left" vertical="center" wrapText="1"/>
    </xf>
    <xf numFmtId="0" fontId="30" fillId="18" borderId="65" xfId="0" applyFont="1" applyFill="1" applyBorder="1" applyAlignment="1">
      <alignment vertical="top" wrapText="1"/>
    </xf>
    <xf numFmtId="0" fontId="33" fillId="0" borderId="65" xfId="0" applyFont="1" applyBorder="1" applyAlignment="1">
      <alignment horizontal="center" vertical="top" wrapText="1"/>
    </xf>
    <xf numFmtId="164" fontId="30" fillId="0" borderId="65" xfId="0" applyNumberFormat="1" applyFont="1" applyBorder="1" applyAlignment="1">
      <alignment horizontal="left" vertical="top"/>
    </xf>
    <xf numFmtId="0" fontId="38" fillId="15" borderId="65" xfId="0" applyFont="1" applyFill="1" applyBorder="1"/>
    <xf numFmtId="164" fontId="32" fillId="0" borderId="73" xfId="0" applyNumberFormat="1" applyFont="1" applyBorder="1" applyAlignment="1">
      <alignment horizontal="left" vertical="center"/>
    </xf>
    <xf numFmtId="0" fontId="30" fillId="18" borderId="73" xfId="0" applyFont="1" applyFill="1" applyBorder="1" applyAlignment="1">
      <alignment vertical="top" wrapText="1"/>
    </xf>
    <xf numFmtId="164" fontId="32" fillId="0" borderId="72" xfId="0" applyNumberFormat="1" applyFont="1" applyBorder="1" applyAlignment="1">
      <alignment horizontal="left" vertical="center"/>
    </xf>
    <xf numFmtId="0" fontId="32" fillId="15" borderId="72" xfId="0" applyFont="1" applyFill="1" applyBorder="1"/>
    <xf numFmtId="0" fontId="33" fillId="17" borderId="50" xfId="0" applyFont="1" applyFill="1" applyBorder="1" applyAlignment="1">
      <alignment horizontal="right"/>
    </xf>
    <xf numFmtId="0" fontId="34" fillId="19" borderId="74" xfId="0" applyFont="1" applyFill="1" applyBorder="1"/>
    <xf numFmtId="0" fontId="34" fillId="19" borderId="75" xfId="0" applyFont="1" applyFill="1" applyBorder="1"/>
    <xf numFmtId="0" fontId="33" fillId="0" borderId="50" xfId="0" applyFont="1" applyBorder="1" applyAlignment="1">
      <alignment horizontal="center"/>
    </xf>
    <xf numFmtId="165" fontId="33" fillId="0" borderId="50" xfId="0" applyNumberFormat="1" applyFont="1" applyBorder="1" applyAlignment="1">
      <alignment horizontal="center" vertical="center"/>
    </xf>
    <xf numFmtId="165" fontId="33" fillId="0" borderId="50" xfId="0" applyNumberFormat="1" applyFont="1" applyBorder="1" applyAlignment="1">
      <alignment horizontal="center"/>
    </xf>
    <xf numFmtId="0" fontId="32" fillId="0" borderId="54" xfId="0" applyFont="1" applyBorder="1" applyAlignment="1">
      <alignment horizontal="center"/>
    </xf>
    <xf numFmtId="0" fontId="32" fillId="0" borderId="50" xfId="0" applyFont="1" applyBorder="1" applyAlignment="1">
      <alignment horizontal="center"/>
    </xf>
    <xf numFmtId="0" fontId="30" fillId="0" borderId="54" xfId="0" applyFont="1" applyBorder="1" applyAlignment="1">
      <alignment horizontal="center" vertical="top" wrapText="1"/>
    </xf>
    <xf numFmtId="0" fontId="33" fillId="0" borderId="0" xfId="0" applyFont="1" applyAlignment="1">
      <alignment horizontal="center"/>
    </xf>
    <xf numFmtId="164" fontId="32" fillId="0" borderId="53" xfId="0" applyNumberFormat="1" applyFont="1" applyBorder="1" applyAlignment="1">
      <alignment horizontal="center" vertical="center"/>
    </xf>
    <xf numFmtId="164" fontId="32" fillId="0" borderId="0" xfId="0" applyNumberFormat="1" applyFont="1" applyAlignment="1">
      <alignment horizontal="center" vertical="center"/>
    </xf>
    <xf numFmtId="0" fontId="1" fillId="0" borderId="50" xfId="0" applyFont="1" applyBorder="1" applyAlignment="1">
      <alignment horizontal="center"/>
    </xf>
    <xf numFmtId="44" fontId="32" fillId="0" borderId="50" xfId="0" applyNumberFormat="1" applyFont="1" applyBorder="1"/>
    <xf numFmtId="164" fontId="0" fillId="0" borderId="50" xfId="0" applyNumberFormat="1" applyBorder="1"/>
    <xf numFmtId="0" fontId="1" fillId="17" borderId="50" xfId="0" applyFont="1" applyFill="1" applyBorder="1" applyAlignment="1">
      <alignment horizontal="right"/>
    </xf>
    <xf numFmtId="0" fontId="32" fillId="19" borderId="54" xfId="0" applyFont="1" applyFill="1" applyBorder="1" applyAlignment="1">
      <alignment horizontal="center"/>
    </xf>
    <xf numFmtId="0" fontId="32" fillId="19" borderId="50" xfId="0" applyFont="1" applyFill="1" applyBorder="1" applyAlignment="1">
      <alignment horizontal="center"/>
    </xf>
    <xf numFmtId="0" fontId="30" fillId="19" borderId="54" xfId="0" applyFont="1" applyFill="1" applyBorder="1" applyAlignment="1">
      <alignment horizontal="center" vertical="top" wrapText="1"/>
    </xf>
    <xf numFmtId="0" fontId="1" fillId="0" borderId="56" xfId="0" applyFont="1" applyBorder="1"/>
    <xf numFmtId="0" fontId="1" fillId="0" borderId="54" xfId="0" applyFont="1" applyBorder="1"/>
    <xf numFmtId="0" fontId="1" fillId="17" borderId="53" xfId="0" applyFont="1" applyFill="1" applyBorder="1" applyAlignment="1">
      <alignment horizontal="center"/>
    </xf>
    <xf numFmtId="0" fontId="1" fillId="17" borderId="56" xfId="0" applyFont="1" applyFill="1" applyBorder="1" applyAlignment="1">
      <alignment horizontal="center"/>
    </xf>
    <xf numFmtId="0" fontId="33" fillId="17" borderId="50" xfId="0" applyFont="1" applyFill="1" applyBorder="1" applyAlignment="1">
      <alignment horizontal="center"/>
    </xf>
    <xf numFmtId="165" fontId="33" fillId="17" borderId="50" xfId="0" applyNumberFormat="1" applyFont="1" applyFill="1" applyBorder="1" applyAlignment="1">
      <alignment horizontal="center" vertical="center"/>
    </xf>
    <xf numFmtId="165" fontId="33" fillId="17" borderId="50" xfId="0" applyNumberFormat="1" applyFont="1" applyFill="1" applyBorder="1" applyAlignment="1">
      <alignment horizontal="center"/>
    </xf>
    <xf numFmtId="0" fontId="33" fillId="17" borderId="0" xfId="0" applyFont="1" applyFill="1" applyAlignment="1">
      <alignment horizontal="center"/>
    </xf>
    <xf numFmtId="164" fontId="32" fillId="15" borderId="53" xfId="0" applyNumberFormat="1" applyFont="1" applyFill="1" applyBorder="1" applyAlignment="1">
      <alignment horizontal="center" vertical="center"/>
    </xf>
    <xf numFmtId="0" fontId="33" fillId="17" borderId="50" xfId="0" applyFont="1" applyFill="1" applyBorder="1" applyAlignment="1">
      <alignment horizontal="left" vertical="top"/>
    </xf>
    <xf numFmtId="0" fontId="1" fillId="17" borderId="50" xfId="0" applyFont="1" applyFill="1" applyBorder="1" applyAlignment="1">
      <alignment horizontal="center"/>
    </xf>
    <xf numFmtId="164" fontId="32" fillId="15" borderId="0" xfId="0" applyNumberFormat="1" applyFont="1" applyFill="1" applyAlignment="1">
      <alignment horizontal="center" vertical="center"/>
    </xf>
    <xf numFmtId="164" fontId="32" fillId="0" borderId="65" xfId="0" applyNumberFormat="1" applyFont="1" applyBorder="1" applyAlignment="1">
      <alignment horizontal="right" vertical="center"/>
    </xf>
    <xf numFmtId="164" fontId="32" fillId="0" borderId="69" xfId="0" applyNumberFormat="1" applyFont="1" applyBorder="1"/>
    <xf numFmtId="164" fontId="32" fillId="0" borderId="67" xfId="0" applyNumberFormat="1" applyFont="1" applyBorder="1"/>
    <xf numFmtId="164" fontId="32" fillId="0" borderId="68" xfId="0" applyNumberFormat="1" applyFont="1" applyBorder="1"/>
    <xf numFmtId="165" fontId="11" fillId="15" borderId="0" xfId="0" applyNumberFormat="1" applyFont="1" applyFill="1" applyAlignment="1">
      <alignment horizontal="left" vertical="top"/>
    </xf>
    <xf numFmtId="165" fontId="2" fillId="15" borderId="0" xfId="0" applyNumberFormat="1" applyFont="1" applyFill="1"/>
    <xf numFmtId="164" fontId="32" fillId="19" borderId="53" xfId="0" applyNumberFormat="1" applyFont="1" applyFill="1" applyBorder="1" applyAlignment="1">
      <alignment horizontal="center" vertical="center"/>
    </xf>
    <xf numFmtId="164" fontId="32" fillId="19" borderId="0" xfId="0" applyNumberFormat="1" applyFont="1" applyFill="1" applyAlignment="1">
      <alignment horizontal="center" vertical="center"/>
    </xf>
    <xf numFmtId="0" fontId="32" fillId="0" borderId="0" xfId="5" applyFont="1" applyFill="1" applyBorder="1" applyAlignment="1">
      <alignment horizontal="left" vertical="top" wrapText="1"/>
    </xf>
    <xf numFmtId="0" fontId="35" fillId="0" borderId="0" xfId="0" applyFont="1" applyAlignment="1">
      <alignment vertical="center"/>
    </xf>
    <xf numFmtId="164" fontId="35" fillId="0" borderId="0" xfId="0" applyNumberFormat="1" applyFont="1" applyAlignment="1">
      <alignment horizontal="center" vertical="center"/>
    </xf>
    <xf numFmtId="164" fontId="32" fillId="0" borderId="50" xfId="0" applyNumberFormat="1" applyFont="1" applyBorder="1" applyAlignment="1">
      <alignment vertical="center"/>
    </xf>
    <xf numFmtId="44" fontId="32" fillId="0" borderId="50" xfId="0" applyNumberFormat="1" applyFont="1" applyBorder="1" applyAlignment="1">
      <alignment vertical="center"/>
    </xf>
    <xf numFmtId="164" fontId="32" fillId="0" borderId="0" xfId="0" applyNumberFormat="1" applyFont="1" applyAlignment="1">
      <alignment vertical="center"/>
    </xf>
    <xf numFmtId="165" fontId="35" fillId="0" borderId="0" xfId="0" applyNumberFormat="1" applyFont="1"/>
    <xf numFmtId="165" fontId="32" fillId="0" borderId="50" xfId="0" applyNumberFormat="1" applyFont="1" applyBorder="1"/>
    <xf numFmtId="164" fontId="35" fillId="0" borderId="50" xfId="0" applyNumberFormat="1" applyFont="1" applyBorder="1" applyAlignment="1">
      <alignment horizontal="right"/>
    </xf>
    <xf numFmtId="164" fontId="35" fillId="0" borderId="0" xfId="0" applyNumberFormat="1" applyFont="1" applyAlignment="1">
      <alignment horizontal="right"/>
    </xf>
    <xf numFmtId="164" fontId="32" fillId="0" borderId="50" xfId="0" applyNumberFormat="1" applyFont="1" applyBorder="1" applyAlignment="1">
      <alignment horizontal="right"/>
    </xf>
    <xf numFmtId="0" fontId="33" fillId="17" borderId="0" xfId="0" applyFont="1" applyFill="1"/>
    <xf numFmtId="164" fontId="30" fillId="0" borderId="65" xfId="0" applyNumberFormat="1" applyFont="1" applyBorder="1" applyAlignment="1">
      <alignment horizontal="left" vertical="top" wrapText="1"/>
    </xf>
    <xf numFmtId="0" fontId="1" fillId="17" borderId="0" xfId="0" applyFont="1" applyFill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30" fillId="0" borderId="57" xfId="0" quotePrefix="1" applyFont="1" applyBorder="1" applyAlignment="1">
      <alignment horizontal="center" vertical="top" wrapText="1"/>
    </xf>
    <xf numFmtId="165" fontId="32" fillId="0" borderId="50" xfId="0" applyNumberFormat="1" applyFont="1" applyBorder="1" applyAlignment="1">
      <alignment horizontal="center"/>
    </xf>
    <xf numFmtId="164" fontId="30" fillId="0" borderId="57" xfId="0" applyNumberFormat="1" applyFont="1" applyBorder="1" applyAlignment="1">
      <alignment horizontal="center" vertical="top" wrapText="1"/>
    </xf>
    <xf numFmtId="0" fontId="30" fillId="0" borderId="51" xfId="0" applyFont="1" applyBorder="1" applyAlignment="1">
      <alignment vertical="top" wrapText="1"/>
    </xf>
    <xf numFmtId="165" fontId="35" fillId="0" borderId="67" xfId="0" applyNumberFormat="1" applyFont="1" applyBorder="1"/>
    <xf numFmtId="164" fontId="30" fillId="0" borderId="65" xfId="0" applyNumberFormat="1" applyFont="1" applyBorder="1" applyAlignment="1">
      <alignment horizontal="left"/>
    </xf>
    <xf numFmtId="0" fontId="30" fillId="0" borderId="76" xfId="0" applyFont="1" applyBorder="1" applyAlignment="1">
      <alignment horizontal="center" vertical="top" wrapText="1"/>
    </xf>
    <xf numFmtId="0" fontId="31" fillId="0" borderId="76" xfId="0" quotePrefix="1" applyFont="1" applyBorder="1" applyAlignment="1">
      <alignment horizontal="center" vertical="top" wrapText="1"/>
    </xf>
    <xf numFmtId="164" fontId="31" fillId="0" borderId="76" xfId="0" applyNumberFormat="1" applyFont="1" applyBorder="1" applyAlignment="1">
      <alignment horizontal="center" vertical="top" wrapText="1"/>
    </xf>
    <xf numFmtId="164" fontId="31" fillId="0" borderId="76" xfId="0" quotePrefix="1" applyNumberFormat="1" applyFont="1" applyBorder="1" applyAlignment="1">
      <alignment horizontal="center" vertical="top" wrapText="1"/>
    </xf>
    <xf numFmtId="0" fontId="31" fillId="0" borderId="76" xfId="0" applyFont="1" applyBorder="1" applyAlignment="1">
      <alignment horizontal="center" vertical="top" wrapText="1"/>
    </xf>
    <xf numFmtId="164" fontId="32" fillId="15" borderId="78" xfId="5" applyNumberFormat="1" applyFont="1" applyFill="1" applyBorder="1" applyAlignment="1">
      <alignment vertical="center" wrapText="1"/>
    </xf>
    <xf numFmtId="0" fontId="31" fillId="0" borderId="77" xfId="0" quotePrefix="1" applyFont="1" applyBorder="1" applyAlignment="1">
      <alignment horizontal="center" vertical="top" wrapText="1"/>
    </xf>
    <xf numFmtId="164" fontId="31" fillId="0" borderId="79" xfId="0" applyNumberFormat="1" applyFont="1" applyBorder="1" applyAlignment="1">
      <alignment horizontal="center" vertical="top" wrapText="1"/>
    </xf>
    <xf numFmtId="164" fontId="32" fillId="15" borderId="78" xfId="5" applyNumberFormat="1" applyFont="1" applyFill="1" applyBorder="1" applyAlignment="1">
      <alignment vertical="top" wrapText="1"/>
    </xf>
    <xf numFmtId="164" fontId="32" fillId="15" borderId="76" xfId="5" applyNumberFormat="1" applyFont="1" applyFill="1" applyBorder="1" applyAlignment="1">
      <alignment horizontal="center" vertical="top" wrapText="1"/>
    </xf>
    <xf numFmtId="0" fontId="31" fillId="0" borderId="76" xfId="0" applyFont="1" applyBorder="1" applyAlignment="1">
      <alignment horizontal="center" vertical="center" wrapText="1"/>
    </xf>
    <xf numFmtId="164" fontId="31" fillId="0" borderId="76" xfId="0" applyNumberFormat="1" applyFont="1" applyBorder="1" applyAlignment="1">
      <alignment horizontal="center" vertical="center" wrapText="1"/>
    </xf>
    <xf numFmtId="0" fontId="30" fillId="0" borderId="76" xfId="0" quotePrefix="1" applyFont="1" applyBorder="1" applyAlignment="1">
      <alignment horizontal="center" vertical="center"/>
    </xf>
    <xf numFmtId="164" fontId="50" fillId="0" borderId="0" xfId="0" applyNumberFormat="1" applyFont="1"/>
    <xf numFmtId="0" fontId="37" fillId="0" borderId="57" xfId="0" applyFont="1" applyBorder="1" applyAlignment="1">
      <alignment horizontal="center" vertical="top" wrapText="1"/>
    </xf>
    <xf numFmtId="0" fontId="30" fillId="0" borderId="57" xfId="0" applyFont="1" applyBorder="1" applyAlignment="1">
      <alignment horizontal="center" vertical="center" wrapText="1"/>
    </xf>
    <xf numFmtId="0" fontId="33" fillId="17" borderId="54" xfId="0" applyFont="1" applyFill="1" applyBorder="1" applyAlignment="1">
      <alignment horizontal="center"/>
    </xf>
    <xf numFmtId="0" fontId="33" fillId="17" borderId="80" xfId="0" applyFont="1" applyFill="1" applyBorder="1" applyAlignment="1">
      <alignment horizontal="left" vertical="top"/>
    </xf>
    <xf numFmtId="0" fontId="35" fillId="15" borderId="81" xfId="0" applyFont="1" applyFill="1" applyBorder="1"/>
    <xf numFmtId="0" fontId="35" fillId="15" borderId="0" xfId="0" applyFont="1" applyFill="1"/>
    <xf numFmtId="0" fontId="35" fillId="15" borderId="81" xfId="0" applyFont="1" applyFill="1" applyBorder="1" applyAlignment="1">
      <alignment horizontal="center" vertical="center"/>
    </xf>
    <xf numFmtId="0" fontId="35" fillId="15" borderId="0" xfId="0" applyFont="1" applyFill="1" applyAlignment="1">
      <alignment horizontal="center" vertical="center"/>
    </xf>
    <xf numFmtId="164" fontId="31" fillId="0" borderId="77" xfId="0" applyNumberFormat="1" applyFont="1" applyBorder="1" applyAlignment="1">
      <alignment vertical="top" wrapText="1"/>
    </xf>
    <xf numFmtId="164" fontId="31" fillId="0" borderId="77" xfId="0" applyNumberFormat="1" applyFont="1" applyBorder="1" applyAlignment="1">
      <alignment vertical="center" wrapText="1"/>
    </xf>
    <xf numFmtId="164" fontId="33" fillId="17" borderId="82" xfId="4" applyNumberFormat="1" applyFont="1" applyFill="1" applyBorder="1" applyAlignment="1">
      <alignment horizontal="center" vertical="center" wrapText="1"/>
    </xf>
    <xf numFmtId="164" fontId="51" fillId="0" borderId="77" xfId="0" applyNumberFormat="1" applyFont="1" applyBorder="1" applyAlignment="1">
      <alignment vertical="center" wrapText="1"/>
    </xf>
    <xf numFmtId="164" fontId="51" fillId="0" borderId="77" xfId="0" applyNumberFormat="1" applyFont="1" applyBorder="1" applyAlignment="1">
      <alignment vertical="top" wrapText="1"/>
    </xf>
    <xf numFmtId="0" fontId="50" fillId="0" borderId="50" xfId="0" applyFont="1" applyBorder="1"/>
    <xf numFmtId="0" fontId="11" fillId="0" borderId="50" xfId="0" applyFont="1" applyBorder="1"/>
    <xf numFmtId="164" fontId="30" fillId="0" borderId="77" xfId="0" applyNumberFormat="1" applyFont="1" applyBorder="1" applyAlignment="1">
      <alignment vertical="center" wrapText="1"/>
    </xf>
    <xf numFmtId="0" fontId="32" fillId="15" borderId="76" xfId="5" applyFont="1" applyFill="1" applyBorder="1" applyAlignment="1">
      <alignment horizontal="center" vertical="top" wrapText="1"/>
    </xf>
    <xf numFmtId="164" fontId="49" fillId="0" borderId="77" xfId="0" applyNumberFormat="1" applyFont="1" applyBorder="1" applyAlignment="1">
      <alignment horizontal="left" vertical="center" wrapText="1"/>
    </xf>
    <xf numFmtId="164" fontId="49" fillId="0" borderId="0" xfId="4" applyNumberFormat="1" applyFont="1" applyFill="1" applyBorder="1" applyAlignment="1">
      <alignment horizontal="left" vertical="center" wrapText="1"/>
    </xf>
    <xf numFmtId="0" fontId="32" fillId="0" borderId="57" xfId="0" quotePrefix="1" applyFont="1" applyBorder="1" applyAlignment="1">
      <alignment horizontal="center" vertical="center"/>
    </xf>
    <xf numFmtId="164" fontId="36" fillId="21" borderId="50" xfId="0" applyNumberFormat="1" applyFont="1" applyFill="1" applyBorder="1" applyAlignment="1">
      <alignment horizontal="right"/>
    </xf>
    <xf numFmtId="164" fontId="36" fillId="0" borderId="0" xfId="0" applyNumberFormat="1" applyFont="1" applyAlignment="1">
      <alignment horizontal="center" vertical="center"/>
    </xf>
    <xf numFmtId="0" fontId="36" fillId="0" borderId="0" xfId="0" applyFont="1"/>
    <xf numFmtId="164" fontId="30" fillId="0" borderId="50" xfId="0" applyNumberFormat="1" applyFont="1" applyBorder="1" applyAlignment="1">
      <alignment horizontal="center" vertical="center"/>
    </xf>
    <xf numFmtId="164" fontId="30" fillId="0" borderId="50" xfId="0" applyNumberFormat="1" applyFont="1" applyBorder="1" applyAlignment="1">
      <alignment horizontal="center"/>
    </xf>
    <xf numFmtId="165" fontId="30" fillId="0" borderId="50" xfId="0" applyNumberFormat="1" applyFont="1" applyBorder="1"/>
    <xf numFmtId="164" fontId="30" fillId="0" borderId="50" xfId="0" applyNumberFormat="1" applyFont="1" applyBorder="1" applyAlignment="1">
      <alignment horizontal="right"/>
    </xf>
    <xf numFmtId="165" fontId="36" fillId="0" borderId="0" xfId="0" applyNumberFormat="1" applyFont="1"/>
    <xf numFmtId="164" fontId="36" fillId="0" borderId="0" xfId="0" applyNumberFormat="1" applyFont="1" applyAlignment="1">
      <alignment horizontal="right"/>
    </xf>
    <xf numFmtId="0" fontId="37" fillId="3" borderId="57" xfId="0" applyFont="1" applyFill="1" applyBorder="1" applyAlignment="1">
      <alignment horizontal="center" vertical="top" wrapText="1"/>
    </xf>
    <xf numFmtId="0" fontId="37" fillId="3" borderId="57" xfId="0" quotePrefix="1" applyFont="1" applyFill="1" applyBorder="1" applyAlignment="1">
      <alignment horizontal="center" vertical="top" wrapText="1"/>
    </xf>
    <xf numFmtId="0" fontId="37" fillId="0" borderId="57" xfId="0" quotePrefix="1" applyFont="1" applyBorder="1" applyAlignment="1">
      <alignment horizontal="center" vertical="top" wrapText="1"/>
    </xf>
    <xf numFmtId="164" fontId="23" fillId="0" borderId="86" xfId="0" applyNumberFormat="1" applyFont="1" applyBorder="1" applyAlignment="1">
      <alignment horizontal="center" vertical="center" wrapText="1"/>
    </xf>
    <xf numFmtId="0" fontId="32" fillId="15" borderId="87" xfId="5" applyFont="1" applyFill="1" applyBorder="1" applyAlignment="1">
      <alignment horizontal="center" vertical="top" wrapText="1"/>
    </xf>
    <xf numFmtId="164" fontId="23" fillId="0" borderId="88" xfId="0" applyNumberFormat="1" applyFont="1" applyBorder="1" applyAlignment="1">
      <alignment horizontal="center" vertical="center" wrapText="1"/>
    </xf>
    <xf numFmtId="0" fontId="29" fillId="0" borderId="89" xfId="0" applyFont="1" applyBorder="1" applyAlignment="1">
      <alignment horizontal="left" vertical="center" wrapText="1"/>
    </xf>
    <xf numFmtId="164" fontId="17" fillId="0" borderId="88" xfId="5" applyNumberFormat="1" applyFill="1" applyBorder="1" applyAlignment="1">
      <alignment horizontal="center" vertical="top" wrapText="1"/>
    </xf>
    <xf numFmtId="0" fontId="31" fillId="0" borderId="89" xfId="0" applyFont="1" applyBorder="1" applyAlignment="1">
      <alignment vertical="top" wrapText="1"/>
    </xf>
    <xf numFmtId="164" fontId="21" fillId="0" borderId="88" xfId="4" applyNumberFormat="1" applyFont="1" applyFill="1" applyBorder="1" applyAlignment="1">
      <alignment horizontal="center" vertical="center" wrapText="1"/>
    </xf>
    <xf numFmtId="0" fontId="31" fillId="0" borderId="89" xfId="0" applyFont="1" applyBorder="1" applyAlignment="1">
      <alignment horizontal="left" vertical="top" wrapText="1"/>
    </xf>
    <xf numFmtId="0" fontId="0" fillId="0" borderId="88" xfId="0" applyBorder="1"/>
    <xf numFmtId="0" fontId="30" fillId="0" borderId="87" xfId="0" applyFont="1" applyBorder="1" applyAlignment="1">
      <alignment horizontal="right" vertical="top" wrapText="1"/>
    </xf>
    <xf numFmtId="164" fontId="0" fillId="0" borderId="88" xfId="0" applyNumberFormat="1" applyBorder="1" applyAlignment="1">
      <alignment horizontal="center" vertical="center"/>
    </xf>
    <xf numFmtId="0" fontId="31" fillId="0" borderId="89" xfId="0" applyFont="1" applyBorder="1" applyAlignment="1">
      <alignment horizontal="justify" vertical="top" wrapText="1"/>
    </xf>
    <xf numFmtId="0" fontId="50" fillId="0" borderId="88" xfId="0" applyFont="1" applyBorder="1"/>
    <xf numFmtId="164" fontId="52" fillId="20" borderId="88" xfId="0" quotePrefix="1" applyNumberFormat="1" applyFont="1" applyFill="1" applyBorder="1" applyAlignment="1">
      <alignment horizontal="left"/>
    </xf>
    <xf numFmtId="164" fontId="33" fillId="17" borderId="92" xfId="4" applyNumberFormat="1" applyFont="1" applyFill="1" applyBorder="1" applyAlignment="1">
      <alignment horizontal="center" vertical="center" wrapText="1"/>
    </xf>
    <xf numFmtId="164" fontId="48" fillId="8" borderId="93" xfId="0" applyNumberFormat="1" applyFont="1" applyFill="1" applyBorder="1"/>
    <xf numFmtId="0" fontId="30" fillId="21" borderId="0" xfId="5" applyFont="1" applyFill="1" applyBorder="1" applyAlignment="1">
      <alignment horizontal="left" vertical="top" wrapText="1"/>
    </xf>
    <xf numFmtId="164" fontId="36" fillId="21" borderId="0" xfId="0" applyNumberFormat="1" applyFont="1" applyFill="1" applyAlignment="1">
      <alignment horizontal="center" vertical="center"/>
    </xf>
    <xf numFmtId="164" fontId="30" fillId="21" borderId="53" xfId="0" applyNumberFormat="1" applyFont="1" applyFill="1" applyBorder="1" applyAlignment="1">
      <alignment horizontal="center" vertical="center"/>
    </xf>
    <xf numFmtId="164" fontId="30" fillId="21" borderId="0" xfId="0" applyNumberFormat="1" applyFont="1" applyFill="1" applyAlignment="1">
      <alignment horizontal="center" vertical="center"/>
    </xf>
    <xf numFmtId="164" fontId="30" fillId="21" borderId="0" xfId="0" applyNumberFormat="1" applyFont="1" applyFill="1" applyAlignment="1">
      <alignment vertical="center"/>
    </xf>
    <xf numFmtId="0" fontId="30" fillId="0" borderId="50" xfId="0" applyFont="1" applyBorder="1"/>
    <xf numFmtId="44" fontId="30" fillId="0" borderId="50" xfId="0" applyNumberFormat="1" applyFont="1" applyBorder="1" applyAlignment="1">
      <alignment vertical="center"/>
    </xf>
    <xf numFmtId="164" fontId="36" fillId="0" borderId="50" xfId="0" applyNumberFormat="1" applyFont="1" applyBorder="1" applyAlignment="1">
      <alignment horizontal="right"/>
    </xf>
    <xf numFmtId="0" fontId="42" fillId="15" borderId="39" xfId="0" applyFont="1" applyFill="1" applyBorder="1" applyAlignment="1">
      <alignment horizontal="center"/>
    </xf>
    <xf numFmtId="0" fontId="42" fillId="15" borderId="6" xfId="0" applyFont="1" applyFill="1" applyBorder="1" applyAlignment="1">
      <alignment horizontal="center"/>
    </xf>
    <xf numFmtId="0" fontId="42" fillId="15" borderId="7" xfId="0" applyFont="1" applyFill="1" applyBorder="1" applyAlignment="1">
      <alignment horizontal="center"/>
    </xf>
    <xf numFmtId="0" fontId="4" fillId="0" borderId="5" xfId="0" applyFont="1" applyBorder="1" applyAlignment="1">
      <alignment horizontal="left"/>
    </xf>
    <xf numFmtId="164" fontId="4" fillId="0" borderId="39" xfId="0" applyNumberFormat="1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164" fontId="40" fillId="15" borderId="5" xfId="0" applyNumberFormat="1" applyFont="1" applyFill="1" applyBorder="1" applyAlignment="1">
      <alignment horizontal="left"/>
    </xf>
    <xf numFmtId="0" fontId="40" fillId="15" borderId="5" xfId="0" applyFont="1" applyFill="1" applyBorder="1" applyAlignment="1">
      <alignment horizontal="left"/>
    </xf>
    <xf numFmtId="0" fontId="40" fillId="15" borderId="39" xfId="0" applyFont="1" applyFill="1" applyBorder="1" applyAlignment="1" applyProtection="1">
      <alignment horizontal="center" vertical="center"/>
      <protection locked="0"/>
    </xf>
    <xf numFmtId="0" fontId="40" fillId="15" borderId="6" xfId="0" applyFont="1" applyFill="1" applyBorder="1" applyAlignment="1" applyProtection="1">
      <alignment horizontal="center" vertical="center"/>
      <protection locked="0"/>
    </xf>
    <xf numFmtId="0" fontId="40" fillId="15" borderId="7" xfId="0" applyFont="1" applyFill="1" applyBorder="1" applyAlignment="1" applyProtection="1">
      <alignment horizontal="center" vertical="center"/>
      <protection locked="0"/>
    </xf>
    <xf numFmtId="0" fontId="43" fillId="15" borderId="39" xfId="3" applyFont="1" applyFill="1" applyBorder="1" applyAlignment="1" applyProtection="1">
      <alignment horizontal="center" vertical="center"/>
      <protection locked="0"/>
    </xf>
    <xf numFmtId="0" fontId="44" fillId="15" borderId="6" xfId="3" applyFont="1" applyFill="1" applyBorder="1" applyAlignment="1" applyProtection="1">
      <alignment horizontal="center" vertical="center"/>
      <protection locked="0"/>
    </xf>
    <xf numFmtId="0" fontId="44" fillId="15" borderId="7" xfId="3" applyFont="1" applyFill="1" applyBorder="1" applyAlignment="1" applyProtection="1">
      <alignment horizontal="center" vertical="center"/>
      <protection locked="0"/>
    </xf>
    <xf numFmtId="0" fontId="5" fillId="0" borderId="46" xfId="0" applyFont="1" applyBorder="1" applyAlignment="1">
      <alignment horizontal="left" vertical="center" indent="1"/>
    </xf>
    <xf numFmtId="0" fontId="5" fillId="0" borderId="9" xfId="0" applyFont="1" applyBorder="1" applyAlignment="1">
      <alignment horizontal="left" vertical="center" indent="1"/>
    </xf>
    <xf numFmtId="0" fontId="5" fillId="0" borderId="35" xfId="0" applyFont="1" applyBorder="1" applyAlignment="1">
      <alignment horizontal="left" vertical="center" indent="1"/>
    </xf>
    <xf numFmtId="0" fontId="5" fillId="0" borderId="5" xfId="0" applyFont="1" applyBorder="1" applyAlignment="1">
      <alignment horizontal="left" vertical="center" indent="1"/>
    </xf>
    <xf numFmtId="0" fontId="5" fillId="0" borderId="40" xfId="0" applyFont="1" applyBorder="1" applyAlignment="1">
      <alignment horizontal="left" vertical="center" indent="1"/>
    </xf>
    <xf numFmtId="0" fontId="5" fillId="0" borderId="41" xfId="0" applyFont="1" applyBorder="1" applyAlignment="1">
      <alignment horizontal="left" vertical="center" indent="1"/>
    </xf>
    <xf numFmtId="0" fontId="5" fillId="0" borderId="47" xfId="0" applyFont="1" applyBorder="1" applyAlignment="1">
      <alignment horizontal="left" vertical="center" indent="1"/>
    </xf>
    <xf numFmtId="0" fontId="5" fillId="0" borderId="48" xfId="0" applyFont="1" applyBorder="1" applyAlignment="1">
      <alignment horizontal="left" vertical="center" indent="1"/>
    </xf>
    <xf numFmtId="0" fontId="40" fillId="0" borderId="5" xfId="0" applyFont="1" applyBorder="1" applyAlignment="1" applyProtection="1">
      <alignment horizontal="left"/>
      <protection locked="0"/>
    </xf>
    <xf numFmtId="164" fontId="41" fillId="15" borderId="5" xfId="0" applyNumberFormat="1" applyFont="1" applyFill="1" applyBorder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0" fontId="4" fillId="0" borderId="4" xfId="0" applyFont="1" applyBorder="1" applyAlignment="1">
      <alignment horizontal="left"/>
    </xf>
    <xf numFmtId="164" fontId="4" fillId="0" borderId="5" xfId="0" applyNumberFormat="1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164" fontId="41" fillId="15" borderId="5" xfId="0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20" fillId="0" borderId="0" xfId="0" applyFont="1" applyAlignment="1">
      <alignment horizontal="center"/>
    </xf>
    <xf numFmtId="0" fontId="41" fillId="15" borderId="5" xfId="0" applyFont="1" applyFill="1" applyBorder="1" applyAlignment="1" applyProtection="1">
      <alignment horizontal="center" vertical="center"/>
      <protection locked="0"/>
    </xf>
    <xf numFmtId="0" fontId="40" fillId="15" borderId="5" xfId="0" applyFont="1" applyFill="1" applyBorder="1" applyAlignment="1" applyProtection="1">
      <alignment horizontal="center" vertical="center"/>
      <protection locked="0"/>
    </xf>
    <xf numFmtId="0" fontId="39" fillId="15" borderId="5" xfId="0" applyFont="1" applyFill="1" applyBorder="1" applyAlignment="1">
      <alignment horizontal="center" vertical="center" wrapText="1"/>
    </xf>
    <xf numFmtId="0" fontId="3" fillId="15" borderId="5" xfId="0" applyFont="1" applyFill="1" applyBorder="1" applyAlignment="1">
      <alignment horizontal="center" vertical="center" wrapText="1"/>
    </xf>
    <xf numFmtId="0" fontId="26" fillId="15" borderId="5" xfId="0" applyFont="1" applyFill="1" applyBorder="1" applyAlignment="1" applyProtection="1">
      <alignment horizontal="center" vertical="center"/>
      <protection locked="0"/>
    </xf>
    <xf numFmtId="0" fontId="46" fillId="0" borderId="0" xfId="0" applyFont="1" applyAlignment="1">
      <alignment horizontal="left"/>
    </xf>
    <xf numFmtId="0" fontId="47" fillId="0" borderId="0" xfId="0" applyFont="1" applyAlignment="1" applyProtection="1">
      <alignment horizontal="left"/>
      <protection locked="0"/>
    </xf>
    <xf numFmtId="164" fontId="46" fillId="0" borderId="0" xfId="0" applyNumberFormat="1" applyFont="1" applyAlignment="1">
      <alignment horizontal="center"/>
    </xf>
    <xf numFmtId="10" fontId="41" fillId="0" borderId="48" xfId="0" applyNumberFormat="1" applyFont="1" applyBorder="1" applyAlignment="1">
      <alignment horizontal="center" vertical="center"/>
    </xf>
    <xf numFmtId="10" fontId="41" fillId="0" borderId="49" xfId="0" applyNumberFormat="1" applyFont="1" applyBorder="1" applyAlignment="1">
      <alignment horizontal="center" vertical="center"/>
    </xf>
    <xf numFmtId="3" fontId="45" fillId="0" borderId="41" xfId="0" applyNumberFormat="1" applyFont="1" applyBorder="1" applyAlignment="1">
      <alignment horizontal="center" vertical="center"/>
    </xf>
    <xf numFmtId="0" fontId="45" fillId="0" borderId="42" xfId="0" applyFont="1" applyBorder="1" applyAlignment="1">
      <alignment horizontal="center" vertical="center"/>
    </xf>
    <xf numFmtId="0" fontId="45" fillId="0" borderId="5" xfId="0" applyFont="1" applyBorder="1" applyAlignment="1">
      <alignment horizontal="center" vertical="center"/>
    </xf>
    <xf numFmtId="0" fontId="45" fillId="0" borderId="16" xfId="0" applyFont="1" applyBorder="1" applyAlignment="1">
      <alignment horizontal="center" vertical="center"/>
    </xf>
    <xf numFmtId="0" fontId="41" fillId="15" borderId="43" xfId="0" applyFont="1" applyFill="1" applyBorder="1" applyAlignment="1">
      <alignment horizontal="center"/>
    </xf>
    <xf numFmtId="0" fontId="41" fillId="15" borderId="44" xfId="0" applyFont="1" applyFill="1" applyBorder="1" applyAlignment="1">
      <alignment horizontal="center"/>
    </xf>
    <xf numFmtId="0" fontId="41" fillId="15" borderId="45" xfId="0" applyFont="1" applyFill="1" applyBorder="1" applyAlignment="1">
      <alignment horizontal="center"/>
    </xf>
    <xf numFmtId="0" fontId="41" fillId="15" borderId="39" xfId="0" applyFont="1" applyFill="1" applyBorder="1" applyAlignment="1" applyProtection="1">
      <alignment horizontal="center" vertical="center"/>
      <protection locked="0"/>
    </xf>
    <xf numFmtId="0" fontId="41" fillId="15" borderId="6" xfId="0" applyFont="1" applyFill="1" applyBorder="1" applyAlignment="1" applyProtection="1">
      <alignment horizontal="center" vertical="center"/>
      <protection locked="0"/>
    </xf>
    <xf numFmtId="0" fontId="41" fillId="15" borderId="7" xfId="0" applyFont="1" applyFill="1" applyBorder="1" applyAlignment="1" applyProtection="1">
      <alignment horizontal="center" vertical="center"/>
      <protection locked="0"/>
    </xf>
    <xf numFmtId="164" fontId="45" fillId="0" borderId="5" xfId="0" applyNumberFormat="1" applyFont="1" applyBorder="1" applyAlignment="1">
      <alignment horizontal="center" vertical="center"/>
    </xf>
    <xf numFmtId="164" fontId="45" fillId="0" borderId="9" xfId="0" applyNumberFormat="1" applyFont="1" applyBorder="1" applyAlignment="1">
      <alignment horizontal="center" vertical="center"/>
    </xf>
    <xf numFmtId="0" fontId="45" fillId="0" borderId="21" xfId="0" applyFont="1" applyBorder="1" applyAlignment="1">
      <alignment horizontal="center" vertical="center"/>
    </xf>
    <xf numFmtId="164" fontId="41" fillId="2" borderId="48" xfId="0" applyNumberFormat="1" applyFont="1" applyFill="1" applyBorder="1" applyAlignment="1">
      <alignment horizontal="center" vertical="center"/>
    </xf>
    <xf numFmtId="0" fontId="41" fillId="2" borderId="49" xfId="0" applyFont="1" applyFill="1" applyBorder="1" applyAlignment="1">
      <alignment horizontal="center" vertical="center"/>
    </xf>
    <xf numFmtId="10" fontId="41" fillId="15" borderId="5" xfId="0" applyNumberFormat="1" applyFont="1" applyFill="1" applyBorder="1" applyAlignment="1">
      <alignment horizontal="center" vertical="center"/>
    </xf>
    <xf numFmtId="0" fontId="46" fillId="0" borderId="0" xfId="0" applyFont="1" applyAlignment="1">
      <alignment horizontal="center"/>
    </xf>
    <xf numFmtId="0" fontId="40" fillId="15" borderId="5" xfId="0" applyFont="1" applyFill="1" applyBorder="1" applyAlignment="1">
      <alignment horizontal="center"/>
    </xf>
    <xf numFmtId="164" fontId="45" fillId="0" borderId="41" xfId="0" applyNumberFormat="1" applyFont="1" applyBorder="1" applyAlignment="1">
      <alignment horizontal="center" vertical="center"/>
    </xf>
    <xf numFmtId="164" fontId="45" fillId="0" borderId="42" xfId="0" applyNumberFormat="1" applyFont="1" applyBorder="1" applyAlignment="1">
      <alignment horizontal="center" vertical="center"/>
    </xf>
    <xf numFmtId="0" fontId="1" fillId="0" borderId="53" xfId="0" applyFont="1" applyBorder="1" applyAlignment="1">
      <alignment horizontal="center"/>
    </xf>
    <xf numFmtId="0" fontId="1" fillId="0" borderId="56" xfId="0" applyFont="1" applyBorder="1" applyAlignment="1">
      <alignment horizontal="center"/>
    </xf>
    <xf numFmtId="0" fontId="32" fillId="15" borderId="59" xfId="5" applyFont="1" applyFill="1" applyBorder="1" applyAlignment="1">
      <alignment horizontal="center" vertical="top" wrapText="1"/>
    </xf>
    <xf numFmtId="0" fontId="32" fillId="15" borderId="60" xfId="5" applyFont="1" applyFill="1" applyBorder="1" applyAlignment="1">
      <alignment horizontal="center" vertical="top" wrapText="1"/>
    </xf>
    <xf numFmtId="0" fontId="32" fillId="15" borderId="61" xfId="5" applyFont="1" applyFill="1" applyBorder="1" applyAlignment="1">
      <alignment horizontal="center" vertical="top" wrapText="1"/>
    </xf>
    <xf numFmtId="0" fontId="30" fillId="0" borderId="57" xfId="0" applyFont="1" applyBorder="1" applyAlignment="1">
      <alignment horizontal="justify" vertical="top" wrapText="1"/>
    </xf>
    <xf numFmtId="0" fontId="32" fillId="15" borderId="57" xfId="5" applyFont="1" applyFill="1" applyBorder="1" applyAlignment="1">
      <alignment horizontal="center" vertical="top" wrapText="1"/>
    </xf>
    <xf numFmtId="0" fontId="33" fillId="17" borderId="62" xfId="4" applyFont="1" applyFill="1" applyBorder="1" applyAlignment="1">
      <alignment horizontal="center" vertical="center" wrapText="1"/>
    </xf>
    <xf numFmtId="0" fontId="32" fillId="15" borderId="77" xfId="5" applyFont="1" applyFill="1" applyBorder="1" applyAlignment="1">
      <alignment horizontal="center" vertical="center" wrapText="1"/>
    </xf>
    <xf numFmtId="0" fontId="32" fillId="15" borderId="0" xfId="5" applyFont="1" applyFill="1" applyBorder="1" applyAlignment="1">
      <alignment horizontal="center" vertical="center" wrapText="1"/>
    </xf>
    <xf numFmtId="0" fontId="32" fillId="15" borderId="77" xfId="5" applyFont="1" applyFill="1" applyBorder="1" applyAlignment="1">
      <alignment horizontal="center" vertical="top" wrapText="1"/>
    </xf>
    <xf numFmtId="0" fontId="32" fillId="15" borderId="0" xfId="5" applyFont="1" applyFill="1" applyBorder="1" applyAlignment="1">
      <alignment horizontal="center" vertical="top" wrapText="1"/>
    </xf>
    <xf numFmtId="0" fontId="32" fillId="15" borderId="78" xfId="5" applyFont="1" applyFill="1" applyBorder="1" applyAlignment="1">
      <alignment horizontal="center" vertical="top" wrapText="1"/>
    </xf>
    <xf numFmtId="0" fontId="32" fillId="15" borderId="76" xfId="5" applyFont="1" applyFill="1" applyBorder="1" applyAlignment="1">
      <alignment horizontal="center" vertical="top" wrapText="1"/>
    </xf>
    <xf numFmtId="0" fontId="33" fillId="17" borderId="91" xfId="4" applyFont="1" applyFill="1" applyBorder="1" applyAlignment="1">
      <alignment horizontal="center" vertical="center" wrapText="1"/>
    </xf>
    <xf numFmtId="0" fontId="33" fillId="17" borderId="83" xfId="4" applyFont="1" applyFill="1" applyBorder="1" applyAlignment="1">
      <alignment horizontal="center" vertical="top" wrapText="1"/>
    </xf>
    <xf numFmtId="0" fontId="30" fillId="0" borderId="0" xfId="0" applyFont="1" applyAlignment="1">
      <alignment horizontal="center" vertical="top" wrapText="1"/>
    </xf>
    <xf numFmtId="0" fontId="0" fillId="0" borderId="89" xfId="0" applyBorder="1" applyAlignment="1">
      <alignment horizontal="left" vertical="center" wrapText="1"/>
    </xf>
    <xf numFmtId="0" fontId="0" fillId="0" borderId="90" xfId="0" applyBorder="1" applyAlignment="1">
      <alignment horizontal="left" vertical="center" wrapText="1"/>
    </xf>
    <xf numFmtId="0" fontId="1" fillId="0" borderId="54" xfId="0" applyFont="1" applyBorder="1" applyAlignment="1">
      <alignment horizontal="center"/>
    </xf>
    <xf numFmtId="0" fontId="33" fillId="17" borderId="57" xfId="4" applyFont="1" applyFill="1" applyBorder="1" applyAlignment="1">
      <alignment horizontal="center" vertical="top" wrapText="1"/>
    </xf>
    <xf numFmtId="0" fontId="34" fillId="15" borderId="43" xfId="5" applyFont="1" applyFill="1" applyBorder="1" applyAlignment="1">
      <alignment horizontal="center" vertical="center" wrapText="1"/>
    </xf>
    <xf numFmtId="0" fontId="34" fillId="15" borderId="45" xfId="5" applyFont="1" applyFill="1" applyBorder="1" applyAlignment="1">
      <alignment horizontal="center" vertical="center" wrapText="1"/>
    </xf>
    <xf numFmtId="0" fontId="30" fillId="0" borderId="58" xfId="0" applyFont="1" applyBorder="1" applyAlignment="1">
      <alignment horizontal="justify" vertical="top" wrapText="1"/>
    </xf>
    <xf numFmtId="0" fontId="33" fillId="17" borderId="0" xfId="4" applyFont="1" applyFill="1" applyBorder="1" applyAlignment="1">
      <alignment horizontal="center" vertical="center" wrapText="1"/>
    </xf>
    <xf numFmtId="0" fontId="32" fillId="15" borderId="59" xfId="5" applyFont="1" applyFill="1" applyBorder="1" applyAlignment="1">
      <alignment horizontal="center" vertical="center" wrapText="1"/>
    </xf>
    <xf numFmtId="0" fontId="32" fillId="15" borderId="60" xfId="5" applyFont="1" applyFill="1" applyBorder="1" applyAlignment="1">
      <alignment horizontal="center" vertical="center" wrapText="1"/>
    </xf>
    <xf numFmtId="0" fontId="33" fillId="17" borderId="84" xfId="4" applyFont="1" applyFill="1" applyBorder="1" applyAlignment="1">
      <alignment horizontal="center" vertical="top" wrapText="1"/>
    </xf>
    <xf numFmtId="0" fontId="33" fillId="17" borderId="85" xfId="4" applyFont="1" applyFill="1" applyBorder="1" applyAlignment="1">
      <alignment horizontal="center" vertical="top" wrapText="1"/>
    </xf>
    <xf numFmtId="0" fontId="1" fillId="17" borderId="53" xfId="0" applyFont="1" applyFill="1" applyBorder="1" applyAlignment="1">
      <alignment horizontal="center"/>
    </xf>
    <xf numFmtId="0" fontId="1" fillId="17" borderId="56" xfId="0" applyFont="1" applyFill="1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6" borderId="6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/>
    </xf>
    <xf numFmtId="0" fontId="0" fillId="6" borderId="15" xfId="0" applyFill="1" applyBorder="1" applyAlignment="1">
      <alignment horizontal="center" vertical="center"/>
    </xf>
    <xf numFmtId="0" fontId="0" fillId="6" borderId="18" xfId="0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16" fillId="0" borderId="10" xfId="3" quotePrefix="1" applyBorder="1" applyAlignment="1">
      <alignment vertical="center"/>
    </xf>
    <xf numFmtId="0" fontId="16" fillId="0" borderId="14" xfId="3" applyBorder="1" applyAlignment="1">
      <alignment vertical="center"/>
    </xf>
    <xf numFmtId="0" fontId="16" fillId="0" borderId="17" xfId="3" applyBorder="1" applyAlignment="1">
      <alignment vertical="center"/>
    </xf>
    <xf numFmtId="0" fontId="0" fillId="6" borderId="4" xfId="0" applyFill="1" applyBorder="1" applyAlignment="1">
      <alignment horizontal="center" vertical="center" wrapText="1"/>
    </xf>
    <xf numFmtId="0" fontId="0" fillId="6" borderId="36" xfId="0" applyFill="1" applyBorder="1" applyAlignment="1">
      <alignment horizontal="center" vertical="center" wrapText="1"/>
    </xf>
    <xf numFmtId="0" fontId="0" fillId="6" borderId="23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6" borderId="25" xfId="0" applyFill="1" applyBorder="1" applyAlignment="1">
      <alignment horizontal="center" vertical="center" wrapText="1"/>
    </xf>
    <xf numFmtId="0" fontId="0" fillId="6" borderId="27" xfId="0" applyFill="1" applyBorder="1" applyAlignment="1">
      <alignment horizontal="left" vertical="center" wrapText="1"/>
    </xf>
    <xf numFmtId="0" fontId="0" fillId="6" borderId="29" xfId="0" applyFill="1" applyBorder="1" applyAlignment="1">
      <alignment horizontal="left" vertical="center" wrapText="1"/>
    </xf>
    <xf numFmtId="0" fontId="0" fillId="6" borderId="31" xfId="0" applyFill="1" applyBorder="1" applyAlignment="1">
      <alignment horizontal="left" vertical="center" wrapText="1"/>
    </xf>
    <xf numFmtId="0" fontId="0" fillId="6" borderId="33" xfId="0" applyFill="1" applyBorder="1" applyAlignment="1">
      <alignment horizontal="center" vertical="center" wrapText="1"/>
    </xf>
    <xf numFmtId="0" fontId="0" fillId="6" borderId="35" xfId="0" applyFill="1" applyBorder="1" applyAlignment="1">
      <alignment horizontal="center" vertical="center" wrapText="1"/>
    </xf>
    <xf numFmtId="0" fontId="0" fillId="6" borderId="37" xfId="0" applyFill="1" applyBorder="1" applyAlignment="1">
      <alignment horizontal="center" vertical="center" wrapText="1"/>
    </xf>
    <xf numFmtId="0" fontId="0" fillId="6" borderId="12" xfId="0" applyFill="1" applyBorder="1" applyAlignment="1">
      <alignment horizontal="left" vertical="center" wrapText="1"/>
    </xf>
    <xf numFmtId="0" fontId="0" fillId="6" borderId="5" xfId="0" applyFill="1" applyBorder="1" applyAlignment="1">
      <alignment horizontal="left" vertical="center" wrapText="1"/>
    </xf>
    <xf numFmtId="0" fontId="0" fillId="6" borderId="19" xfId="0" applyFill="1" applyBorder="1" applyAlignment="1">
      <alignment horizontal="left" vertical="center" wrapText="1"/>
    </xf>
    <xf numFmtId="0" fontId="37" fillId="0" borderId="58" xfId="0" applyFont="1" applyBorder="1" applyAlignment="1">
      <alignment horizontal="center" vertical="top" wrapText="1"/>
    </xf>
  </cellXfs>
  <cellStyles count="7">
    <cellStyle name="20% - Énfasis1" xfId="6" builtinId="30"/>
    <cellStyle name="40% - Énfasis3" xfId="5" builtinId="39"/>
    <cellStyle name="Énfasis3" xfId="4" builtinId="37"/>
    <cellStyle name="Hipervínculo" xfId="3" builtinId="8"/>
    <cellStyle name="Normal" xfId="0" builtinId="0"/>
    <cellStyle name="Standard 3" xfId="2" xr:uid="{A5F28685-94AB-4703-B33E-56236AED3CF1}"/>
    <cellStyle name="Standard_MATERIAL2003 2 2" xfId="1" xr:uid="{DF106B60-383A-4881-861A-3703BAF99201}"/>
  </cellStyles>
  <dxfs count="11"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auto="1"/>
        </bottom>
        <vertical/>
        <horizontal/>
      </border>
    </dxf>
    <dxf>
      <numFmt numFmtId="2" formatCode="0.00"/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hair">
          <color indexed="64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left" vertical="top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</dxfs>
  <tableStyles count="0" defaultTableStyle="TableStyleMedium2" defaultPivotStyle="PivotStyleLight16"/>
  <colors>
    <mruColors>
      <color rgb="FF008000"/>
      <color rgb="FFF4F9F1"/>
      <color rgb="FF0046AD"/>
      <color rgb="FFD9E2F3"/>
      <color rgb="FF0046DB"/>
      <color rgb="FF8EAADB"/>
      <color rgb="FF4472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142875</xdr:colOff>
      <xdr:row>1</xdr:row>
      <xdr:rowOff>56915</xdr:rowOff>
    </xdr:from>
    <xdr:to>
      <xdr:col>2</xdr:col>
      <xdr:colOff>171450</xdr:colOff>
      <xdr:row>4</xdr:row>
      <xdr:rowOff>76434</xdr:rowOff>
    </xdr:to>
    <xdr:pic>
      <xdr:nvPicPr>
        <xdr:cNvPr id="2" name="Imagen 4">
          <a:extLst>
            <a:ext uri="{FF2B5EF4-FFF2-40B4-BE49-F238E27FC236}">
              <a16:creationId xmlns:a16="http://schemas.microsoft.com/office/drawing/2014/main" id="{A6689EF8-0B53-458D-907A-0474DF6272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23875" y="174146"/>
          <a:ext cx="409575" cy="39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B96BFD1-0335-4BE6-851D-B9E1451F678A}" name="Tabla2" displayName="Tabla2" ref="A1:E152" totalsRowShown="0" headerRowDxfId="10" tableBorderDxfId="9" headerRowCellStyle="Standard_MATERIAL2003 2 2">
  <autoFilter ref="A1:E152" xr:uid="{0BA9CA05-1525-4890-B02C-7D107D889D47}"/>
  <tableColumns count="5">
    <tableColumn id="1" xr3:uid="{3713D286-5CE6-4C71-949B-756D1F875927}" name="material cost (lab)" dataDxfId="8"/>
    <tableColumn id="2" xr3:uid="{C6C3C43C-F511-43FB-A16A-3CF8069E0A17}" name="max. 40 Characters" dataDxfId="7"/>
    <tableColumn id="3" xr3:uid="{5124BA01-F96B-4903-8AB2-A7626D75F941}" name="max. 80 Characters" dataDxfId="6"/>
    <tableColumn id="4" xr3:uid="{DDB50D2F-29D0-4FEE-8C97-F5A6AF2ED22E}" name="max. 40 Characters2" dataDxfId="5"/>
    <tableColumn id="5" xr3:uid="{157E6DB0-7B2A-4AE9-B60C-394F34DD56F7}" name="max. 80 Characters3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8612B-C38C-49A1-8C76-AB099000938C}">
  <sheetPr>
    <tabColor rgb="FF0070C0"/>
  </sheetPr>
  <dimension ref="A1:AY217"/>
  <sheetViews>
    <sheetView showGridLines="0" zoomScale="130" zoomScaleNormal="130" workbookViewId="0">
      <selection activeCell="E9" sqref="E9:N9"/>
    </sheetView>
  </sheetViews>
  <sheetFormatPr baseColWidth="10" defaultRowHeight="14.4" x14ac:dyDescent="0.3"/>
  <cols>
    <col min="1" max="3" width="5.6640625" customWidth="1"/>
    <col min="4" max="4" width="8.109375" customWidth="1"/>
    <col min="5" max="44" width="5.6640625" customWidth="1"/>
  </cols>
  <sheetData>
    <row r="1" spans="2:47" ht="9" customHeight="1" x14ac:dyDescent="0.3">
      <c r="F1" s="337"/>
      <c r="G1" s="337"/>
      <c r="H1" s="337"/>
      <c r="I1" s="337"/>
      <c r="J1" s="337"/>
      <c r="K1" s="337"/>
      <c r="L1" s="337"/>
      <c r="M1" s="337"/>
      <c r="N1" s="73"/>
      <c r="O1" s="73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  <c r="AR1" s="114"/>
      <c r="AS1" s="114"/>
      <c r="AT1" s="114"/>
      <c r="AU1" s="114"/>
    </row>
    <row r="2" spans="2:47" ht="9.9" customHeight="1" x14ac:dyDescent="0.3">
      <c r="B2" s="340" t="s">
        <v>830</v>
      </c>
      <c r="C2" s="341"/>
      <c r="D2" s="341"/>
      <c r="E2" s="341"/>
      <c r="F2" s="341"/>
      <c r="G2" s="341"/>
      <c r="H2" s="341"/>
      <c r="I2" s="341"/>
      <c r="J2" s="341"/>
      <c r="K2" s="341"/>
      <c r="L2" s="341"/>
      <c r="M2" s="341"/>
      <c r="N2" s="341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  <c r="AA2" s="114"/>
      <c r="AB2" s="114"/>
      <c r="AC2" s="114"/>
      <c r="AD2" s="114"/>
      <c r="AE2" s="114"/>
      <c r="AF2" s="114"/>
      <c r="AG2" s="114"/>
      <c r="AH2" s="114"/>
      <c r="AI2" s="114"/>
      <c r="AJ2" s="114"/>
      <c r="AK2" s="114"/>
      <c r="AL2" s="114"/>
      <c r="AM2" s="114"/>
      <c r="AN2" s="114"/>
      <c r="AO2" s="114"/>
      <c r="AP2" s="114"/>
      <c r="AQ2" s="114"/>
      <c r="AR2" s="114"/>
      <c r="AS2" s="114"/>
      <c r="AT2" s="114"/>
      <c r="AU2" s="114"/>
    </row>
    <row r="3" spans="2:47" ht="9.9" customHeight="1" x14ac:dyDescent="0.3">
      <c r="B3" s="341"/>
      <c r="C3" s="341"/>
      <c r="D3" s="341"/>
      <c r="E3" s="341"/>
      <c r="F3" s="341"/>
      <c r="G3" s="341"/>
      <c r="H3" s="341"/>
      <c r="I3" s="341"/>
      <c r="J3" s="341"/>
      <c r="K3" s="341"/>
      <c r="L3" s="341"/>
      <c r="M3" s="341"/>
      <c r="N3" s="341"/>
      <c r="P3" s="114"/>
      <c r="Q3" s="114"/>
      <c r="R3" s="114"/>
      <c r="S3" s="114"/>
      <c r="T3" s="114"/>
      <c r="U3" s="114"/>
      <c r="V3" s="114"/>
      <c r="W3" s="114"/>
      <c r="X3" s="114"/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I3" s="114"/>
      <c r="AJ3" s="114"/>
      <c r="AK3" s="114"/>
      <c r="AL3" s="114"/>
      <c r="AM3" s="114"/>
      <c r="AN3" s="114"/>
      <c r="AO3" s="114"/>
      <c r="AP3" s="114"/>
      <c r="AQ3" s="114"/>
      <c r="AR3" s="114"/>
      <c r="AS3" s="114"/>
      <c r="AT3" s="114"/>
      <c r="AU3" s="114"/>
    </row>
    <row r="4" spans="2:47" ht="9.9" customHeight="1" x14ac:dyDescent="0.3">
      <c r="B4" s="341"/>
      <c r="C4" s="341"/>
      <c r="D4" s="341"/>
      <c r="E4" s="341"/>
      <c r="F4" s="341"/>
      <c r="G4" s="341"/>
      <c r="H4" s="341"/>
      <c r="I4" s="341"/>
      <c r="J4" s="341"/>
      <c r="K4" s="341"/>
      <c r="L4" s="341"/>
      <c r="M4" s="341"/>
      <c r="N4" s="341"/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  <c r="AA4" s="114"/>
      <c r="AB4" s="114"/>
      <c r="AC4" s="114"/>
      <c r="AD4" s="114"/>
      <c r="AE4" s="114"/>
      <c r="AF4" s="114"/>
      <c r="AG4" s="114"/>
      <c r="AH4" s="114"/>
      <c r="AI4" s="114"/>
      <c r="AJ4" s="114"/>
      <c r="AK4" s="114"/>
      <c r="AL4" s="114"/>
      <c r="AM4" s="114"/>
      <c r="AN4" s="114"/>
      <c r="AO4" s="114"/>
      <c r="AP4" s="114"/>
      <c r="AQ4" s="114"/>
      <c r="AR4" s="114"/>
      <c r="AS4" s="114"/>
      <c r="AT4" s="114"/>
      <c r="AU4" s="114"/>
    </row>
    <row r="5" spans="2:47" ht="9.9" customHeight="1" x14ac:dyDescent="0.3">
      <c r="B5" s="341"/>
      <c r="C5" s="341"/>
      <c r="D5" s="341"/>
      <c r="E5" s="341"/>
      <c r="F5" s="341"/>
      <c r="G5" s="341"/>
      <c r="H5" s="341"/>
      <c r="I5" s="341"/>
      <c r="J5" s="341"/>
      <c r="K5" s="341"/>
      <c r="L5" s="341"/>
      <c r="M5" s="341"/>
      <c r="N5" s="341"/>
      <c r="P5" s="114"/>
      <c r="Q5" s="114"/>
      <c r="R5" s="114"/>
      <c r="S5" s="114"/>
      <c r="T5" s="114"/>
      <c r="U5" s="114"/>
      <c r="V5" s="114"/>
      <c r="W5" s="114"/>
      <c r="X5" s="114"/>
      <c r="Y5" s="114"/>
      <c r="Z5" s="114"/>
      <c r="AA5" s="114"/>
      <c r="AB5" s="114"/>
      <c r="AC5" s="114"/>
      <c r="AD5" s="114"/>
      <c r="AE5" s="114"/>
      <c r="AF5" s="114"/>
      <c r="AG5" s="114"/>
      <c r="AH5" s="114"/>
      <c r="AI5" s="114"/>
      <c r="AJ5" s="114"/>
      <c r="AK5" s="114"/>
      <c r="AL5" s="114"/>
      <c r="AM5" s="114"/>
      <c r="AN5" s="114"/>
      <c r="AO5" s="114"/>
      <c r="AP5" s="114"/>
      <c r="AQ5" s="114"/>
      <c r="AR5" s="114"/>
      <c r="AS5" s="114"/>
      <c r="AT5" s="114"/>
      <c r="AU5" s="114"/>
    </row>
    <row r="6" spans="2:47" ht="5.0999999999999996" customHeight="1" x14ac:dyDescent="0.3">
      <c r="P6" s="114"/>
      <c r="Q6" s="114"/>
      <c r="R6" s="114"/>
      <c r="S6" s="114"/>
      <c r="T6" s="114"/>
      <c r="U6" s="114"/>
      <c r="V6" s="114"/>
      <c r="W6" s="114"/>
      <c r="X6" s="114"/>
      <c r="Y6" s="114"/>
      <c r="Z6" s="114"/>
      <c r="AA6" s="114"/>
      <c r="AB6" s="114"/>
      <c r="AC6" s="114"/>
      <c r="AD6" s="114"/>
      <c r="AE6" s="114"/>
      <c r="AF6" s="114"/>
      <c r="AG6" s="114"/>
      <c r="AH6" s="114"/>
      <c r="AI6" s="114"/>
      <c r="AJ6" s="114"/>
      <c r="AK6" s="114"/>
      <c r="AL6" s="114"/>
      <c r="AM6" s="114"/>
      <c r="AN6" s="114"/>
      <c r="AO6" s="114"/>
      <c r="AP6" s="114"/>
      <c r="AQ6" s="114"/>
      <c r="AR6" s="114"/>
      <c r="AS6" s="114"/>
      <c r="AT6" s="114"/>
      <c r="AU6" s="114"/>
    </row>
    <row r="7" spans="2:47" ht="12" customHeight="1" x14ac:dyDescent="0.3">
      <c r="B7" s="331" t="s">
        <v>831</v>
      </c>
      <c r="C7" s="331"/>
      <c r="D7" s="331"/>
      <c r="E7" s="342"/>
      <c r="F7" s="342"/>
      <c r="G7" s="342"/>
      <c r="H7" s="342"/>
      <c r="I7" s="79" t="s">
        <v>832</v>
      </c>
      <c r="J7" s="342"/>
      <c r="K7" s="342"/>
      <c r="L7" s="342"/>
      <c r="M7" s="342"/>
      <c r="N7" s="342"/>
      <c r="P7" s="114"/>
      <c r="Q7" s="114"/>
      <c r="R7" s="114"/>
      <c r="S7" s="114"/>
      <c r="T7" s="114"/>
      <c r="U7" s="114"/>
      <c r="V7" s="114"/>
      <c r="W7" s="114"/>
      <c r="X7" s="114"/>
      <c r="Y7" s="114"/>
      <c r="Z7" s="114"/>
      <c r="AA7" s="114"/>
      <c r="AB7" s="114"/>
      <c r="AC7" s="114"/>
      <c r="AD7" s="114"/>
      <c r="AE7" s="114"/>
      <c r="AF7" s="114"/>
      <c r="AG7" s="114"/>
      <c r="AH7" s="114"/>
      <c r="AI7" s="114"/>
      <c r="AJ7" s="114"/>
      <c r="AK7" s="114"/>
      <c r="AL7" s="114"/>
      <c r="AM7" s="114"/>
      <c r="AN7" s="114"/>
      <c r="AO7" s="114"/>
      <c r="AP7" s="114"/>
      <c r="AQ7" s="114"/>
      <c r="AR7" s="114"/>
      <c r="AS7" s="114"/>
      <c r="AT7" s="114"/>
      <c r="AU7" s="114"/>
    </row>
    <row r="8" spans="2:47" ht="12" customHeight="1" x14ac:dyDescent="0.3">
      <c r="B8" s="331" t="s">
        <v>833</v>
      </c>
      <c r="C8" s="331"/>
      <c r="D8" s="331"/>
      <c r="E8" s="339"/>
      <c r="F8" s="339"/>
      <c r="G8" s="339"/>
      <c r="H8" s="339"/>
      <c r="I8" s="75"/>
      <c r="J8" s="339" t="s">
        <v>991</v>
      </c>
      <c r="K8" s="339"/>
      <c r="L8" s="339"/>
      <c r="M8" s="339"/>
      <c r="N8" s="339"/>
      <c r="P8" s="114"/>
      <c r="Q8" s="114"/>
      <c r="R8" s="114"/>
      <c r="S8" s="114"/>
      <c r="T8" s="114"/>
      <c r="U8" s="114"/>
      <c r="V8" s="114"/>
      <c r="W8" s="114"/>
      <c r="X8" s="114"/>
      <c r="Y8" s="114"/>
      <c r="Z8" s="114"/>
      <c r="AA8" s="114"/>
      <c r="AB8" s="114"/>
      <c r="AC8" s="114"/>
      <c r="AD8" s="114"/>
      <c r="AE8" s="114"/>
      <c r="AF8" s="114"/>
      <c r="AG8" s="114"/>
      <c r="AH8" s="114"/>
      <c r="AI8" s="114"/>
      <c r="AJ8" s="114"/>
      <c r="AK8" s="114"/>
      <c r="AL8" s="114"/>
      <c r="AM8" s="114"/>
      <c r="AN8" s="114"/>
      <c r="AO8" s="114"/>
      <c r="AP8" s="114"/>
      <c r="AQ8" s="114"/>
      <c r="AR8" s="114"/>
      <c r="AS8" s="114"/>
      <c r="AT8" s="114"/>
      <c r="AU8" s="114"/>
    </row>
    <row r="9" spans="2:47" ht="12" customHeight="1" x14ac:dyDescent="0.3">
      <c r="B9" s="331" t="s">
        <v>834</v>
      </c>
      <c r="C9" s="331"/>
      <c r="D9" s="331"/>
      <c r="E9" s="338" t="s">
        <v>992</v>
      </c>
      <c r="F9" s="338"/>
      <c r="G9" s="338"/>
      <c r="H9" s="338"/>
      <c r="I9" s="338"/>
      <c r="J9" s="338"/>
      <c r="K9" s="338"/>
      <c r="L9" s="338"/>
      <c r="M9" s="338"/>
      <c r="N9" s="338"/>
      <c r="P9" s="114"/>
      <c r="Q9" s="114"/>
      <c r="R9" s="114"/>
      <c r="S9" s="114"/>
      <c r="T9" s="114"/>
      <c r="U9" s="114"/>
      <c r="V9" s="114"/>
      <c r="W9" s="114"/>
      <c r="X9" s="114"/>
      <c r="Y9" s="114"/>
      <c r="Z9" s="114"/>
      <c r="AA9" s="114"/>
      <c r="AB9" s="114"/>
      <c r="AC9" s="114"/>
      <c r="AD9" s="114"/>
      <c r="AE9" s="114"/>
      <c r="AF9" s="114"/>
      <c r="AG9" s="114"/>
      <c r="AH9" s="114"/>
      <c r="AI9" s="114"/>
      <c r="AJ9" s="114"/>
      <c r="AK9" s="114"/>
      <c r="AL9" s="114"/>
      <c r="AM9" s="114"/>
      <c r="AN9" s="114"/>
      <c r="AO9" s="114"/>
      <c r="AP9" s="114"/>
      <c r="AQ9" s="114"/>
      <c r="AR9" s="114"/>
      <c r="AS9" s="114"/>
      <c r="AT9" s="114"/>
      <c r="AU9" s="114"/>
    </row>
    <row r="10" spans="2:47" ht="12" customHeight="1" x14ac:dyDescent="0.3">
      <c r="B10" s="331" t="s">
        <v>835</v>
      </c>
      <c r="C10" s="331"/>
      <c r="D10" s="331"/>
      <c r="E10" s="338" t="s">
        <v>709</v>
      </c>
      <c r="F10" s="338"/>
      <c r="G10" s="338"/>
      <c r="H10" s="338"/>
      <c r="I10" s="338"/>
      <c r="J10" s="338"/>
      <c r="K10" s="338"/>
      <c r="L10" s="338"/>
      <c r="M10" s="338"/>
      <c r="N10" s="338"/>
      <c r="P10" s="114"/>
      <c r="Q10" s="114"/>
      <c r="R10" s="114"/>
      <c r="S10" s="114"/>
      <c r="T10" s="114"/>
      <c r="U10" s="114"/>
      <c r="V10" s="114"/>
      <c r="W10" s="114"/>
      <c r="X10" s="114"/>
      <c r="Y10" s="114"/>
      <c r="Z10" s="114"/>
      <c r="AA10" s="114"/>
      <c r="AB10" s="114"/>
      <c r="AC10" s="114"/>
      <c r="AD10" s="114"/>
      <c r="AE10" s="114"/>
      <c r="AF10" s="114"/>
      <c r="AG10" s="114"/>
      <c r="AH10" s="114"/>
      <c r="AI10" s="114"/>
      <c r="AJ10" s="114"/>
      <c r="AK10" s="114"/>
      <c r="AL10" s="114"/>
      <c r="AM10" s="114"/>
      <c r="AN10" s="114"/>
      <c r="AO10" s="114"/>
      <c r="AP10" s="114"/>
      <c r="AQ10" s="114"/>
      <c r="AR10" s="114"/>
      <c r="AS10" s="114"/>
      <c r="AT10" s="114"/>
      <c r="AU10" s="114"/>
    </row>
    <row r="11" spans="2:47" ht="12" customHeight="1" x14ac:dyDescent="0.3">
      <c r="B11" s="331" t="s">
        <v>836</v>
      </c>
      <c r="C11" s="331"/>
      <c r="D11" s="331"/>
      <c r="E11" s="338" t="s">
        <v>777</v>
      </c>
      <c r="F11" s="338"/>
      <c r="G11" s="338"/>
      <c r="H11" s="338"/>
      <c r="I11" s="338"/>
      <c r="J11" s="338"/>
      <c r="K11" s="338"/>
      <c r="L11" s="338"/>
      <c r="M11" s="338"/>
      <c r="N11" s="338"/>
      <c r="P11" s="114"/>
      <c r="Q11" s="114"/>
      <c r="R11" s="114"/>
      <c r="S11" s="114"/>
      <c r="T11" s="114"/>
      <c r="U11" s="114"/>
      <c r="V11" s="114"/>
      <c r="W11" s="114"/>
      <c r="X11" s="114"/>
      <c r="Y11" s="114"/>
      <c r="Z11" s="114"/>
      <c r="AA11" s="114"/>
      <c r="AB11" s="114"/>
      <c r="AC11" s="114"/>
      <c r="AD11" s="114"/>
      <c r="AE11" s="114"/>
      <c r="AF11" s="114"/>
      <c r="AG11" s="114"/>
      <c r="AH11" s="114"/>
      <c r="AI11" s="114"/>
      <c r="AJ11" s="114"/>
      <c r="AK11" s="114"/>
      <c r="AL11" s="114"/>
      <c r="AM11" s="114"/>
      <c r="AN11" s="114"/>
      <c r="AO11" s="114"/>
      <c r="AP11" s="114"/>
      <c r="AQ11" s="114"/>
      <c r="AR11" s="114"/>
      <c r="AS11" s="114"/>
      <c r="AT11" s="114"/>
      <c r="AU11" s="114"/>
    </row>
    <row r="12" spans="2:47" ht="5.0999999999999996" customHeight="1" thickBot="1" x14ac:dyDescent="0.35">
      <c r="B12" s="2"/>
      <c r="F12" s="1"/>
      <c r="G12" s="1"/>
      <c r="H12" s="1"/>
      <c r="I12" s="1"/>
      <c r="J12" s="1"/>
      <c r="K12" s="1"/>
      <c r="P12" s="114"/>
      <c r="Q12" s="114"/>
      <c r="R12" s="114"/>
      <c r="S12" s="114"/>
      <c r="T12" s="114"/>
      <c r="U12" s="114"/>
      <c r="V12" s="114"/>
      <c r="W12" s="114"/>
      <c r="X12" s="114"/>
      <c r="Y12" s="114"/>
      <c r="Z12" s="114"/>
      <c r="AA12" s="114"/>
      <c r="AB12" s="114"/>
      <c r="AC12" s="114"/>
      <c r="AD12" s="114"/>
      <c r="AE12" s="114"/>
      <c r="AF12" s="114"/>
      <c r="AG12" s="114"/>
      <c r="AH12" s="114"/>
      <c r="AI12" s="114"/>
      <c r="AJ12" s="114"/>
      <c r="AK12" s="114"/>
      <c r="AL12" s="114"/>
      <c r="AM12" s="114"/>
      <c r="AN12" s="114"/>
      <c r="AO12" s="114"/>
      <c r="AP12" s="114"/>
      <c r="AQ12" s="114"/>
      <c r="AR12" s="114"/>
      <c r="AS12" s="114"/>
      <c r="AT12" s="114"/>
      <c r="AU12" s="114"/>
    </row>
    <row r="13" spans="2:47" ht="12" customHeight="1" thickBot="1" x14ac:dyDescent="0.35">
      <c r="B13" s="331" t="s">
        <v>837</v>
      </c>
      <c r="C13" s="331"/>
      <c r="D13" s="331"/>
      <c r="E13" s="315"/>
      <c r="F13" s="316"/>
      <c r="G13" s="316"/>
      <c r="H13" s="317"/>
      <c r="I13" s="1"/>
      <c r="J13" s="352" t="s">
        <v>858</v>
      </c>
      <c r="K13" s="353"/>
      <c r="L13" s="353"/>
      <c r="M13" s="353"/>
      <c r="N13" s="354"/>
      <c r="P13" s="114"/>
      <c r="Q13" s="114"/>
      <c r="R13" s="114"/>
      <c r="S13" s="114"/>
      <c r="T13" s="114"/>
      <c r="U13" s="114"/>
      <c r="V13" s="114"/>
      <c r="W13" s="114"/>
      <c r="X13" s="114"/>
      <c r="Y13" s="114"/>
      <c r="Z13" s="114"/>
      <c r="AA13" s="114"/>
      <c r="AB13" s="114"/>
      <c r="AC13" s="114"/>
      <c r="AD13" s="114"/>
      <c r="AE13" s="114"/>
      <c r="AF13" s="114"/>
      <c r="AG13" s="114"/>
      <c r="AH13" s="114"/>
      <c r="AI13" s="114"/>
      <c r="AJ13" s="114"/>
      <c r="AK13" s="114"/>
      <c r="AL13" s="114"/>
      <c r="AM13" s="114"/>
      <c r="AN13" s="114"/>
      <c r="AO13" s="114"/>
      <c r="AP13" s="114"/>
      <c r="AQ13" s="114"/>
      <c r="AR13" s="114"/>
      <c r="AS13" s="114"/>
      <c r="AT13" s="114"/>
      <c r="AU13" s="114"/>
    </row>
    <row r="14" spans="2:47" ht="12" customHeight="1" x14ac:dyDescent="0.3">
      <c r="B14" s="331" t="s">
        <v>838</v>
      </c>
      <c r="C14" s="331"/>
      <c r="D14" s="331"/>
      <c r="E14" s="307"/>
      <c r="F14" s="308"/>
      <c r="G14" s="308"/>
      <c r="H14" s="309"/>
      <c r="I14" s="1"/>
      <c r="J14" s="325" t="s">
        <v>789</v>
      </c>
      <c r="K14" s="326"/>
      <c r="L14" s="326"/>
      <c r="M14" s="366">
        <f>+(E36+E47+F65+E52)-(E36+E47+F65+E52)*G19</f>
        <v>1049.19</v>
      </c>
      <c r="N14" s="367"/>
      <c r="P14" s="114"/>
      <c r="Q14" s="114"/>
      <c r="R14" s="114"/>
      <c r="S14" s="114"/>
      <c r="T14" s="114"/>
      <c r="U14" s="114"/>
      <c r="V14" s="114"/>
      <c r="W14" s="114"/>
      <c r="X14" s="114"/>
      <c r="Y14" s="114"/>
      <c r="Z14" s="114"/>
      <c r="AA14" s="114"/>
      <c r="AB14" s="114"/>
      <c r="AC14" s="114"/>
      <c r="AD14" s="114"/>
      <c r="AE14" s="114"/>
      <c r="AF14" s="114"/>
      <c r="AG14" s="114"/>
      <c r="AH14" s="114"/>
      <c r="AI14" s="114"/>
      <c r="AJ14" s="114"/>
      <c r="AK14" s="114"/>
      <c r="AL14" s="114"/>
      <c r="AM14" s="114"/>
      <c r="AN14" s="114"/>
      <c r="AO14" s="114"/>
      <c r="AP14" s="114"/>
      <c r="AQ14" s="114"/>
      <c r="AR14" s="114"/>
      <c r="AS14" s="114"/>
      <c r="AT14" s="114"/>
      <c r="AU14" s="114"/>
    </row>
    <row r="15" spans="2:47" ht="12" customHeight="1" thickBot="1" x14ac:dyDescent="0.35">
      <c r="B15" s="331" t="s">
        <v>839</v>
      </c>
      <c r="C15" s="331"/>
      <c r="D15" s="331"/>
      <c r="E15" s="315"/>
      <c r="F15" s="316"/>
      <c r="G15" s="316"/>
      <c r="H15" s="317"/>
      <c r="I15" s="1"/>
      <c r="J15" s="321" t="s">
        <v>790</v>
      </c>
      <c r="K15" s="322"/>
      <c r="L15" s="322"/>
      <c r="M15" s="359">
        <f>+E36+E47+E52+E65*61.4</f>
        <v>1047.99</v>
      </c>
      <c r="N15" s="360"/>
      <c r="P15" s="114"/>
      <c r="Q15" s="114"/>
      <c r="R15" s="114"/>
      <c r="S15" s="114"/>
      <c r="T15" s="114"/>
      <c r="U15" s="114"/>
      <c r="V15" s="114"/>
      <c r="W15" s="114"/>
      <c r="X15" s="114"/>
      <c r="Y15" s="114"/>
      <c r="Z15" s="114"/>
      <c r="AA15" s="114"/>
      <c r="AB15" s="114"/>
      <c r="AC15" s="114"/>
      <c r="AD15" s="114"/>
      <c r="AE15" s="114"/>
      <c r="AF15" s="114"/>
      <c r="AG15" s="114"/>
      <c r="AH15" s="114"/>
      <c r="AI15" s="114"/>
      <c r="AJ15" s="114"/>
      <c r="AK15" s="114"/>
      <c r="AL15" s="114"/>
      <c r="AM15" s="114"/>
      <c r="AN15" s="114"/>
      <c r="AO15" s="114"/>
      <c r="AP15" s="114"/>
      <c r="AQ15" s="114"/>
      <c r="AR15" s="114"/>
      <c r="AS15" s="114"/>
      <c r="AT15" s="114"/>
      <c r="AU15" s="114"/>
    </row>
    <row r="16" spans="2:47" ht="12" customHeight="1" thickBot="1" x14ac:dyDescent="0.35">
      <c r="B16" s="331" t="s">
        <v>840</v>
      </c>
      <c r="C16" s="331"/>
      <c r="D16" s="331"/>
      <c r="E16" s="318"/>
      <c r="F16" s="319"/>
      <c r="G16" s="319"/>
      <c r="H16" s="320"/>
      <c r="I16" s="1"/>
      <c r="J16" s="327" t="s">
        <v>791</v>
      </c>
      <c r="K16" s="328"/>
      <c r="L16" s="328"/>
      <c r="M16" s="346">
        <f>+(M21-M15)/M21</f>
        <v>0.1812578125</v>
      </c>
      <c r="N16" s="347"/>
      <c r="P16" s="114"/>
      <c r="Q16" s="114"/>
      <c r="R16" s="114"/>
      <c r="S16" s="114"/>
      <c r="T16" s="114"/>
      <c r="U16" s="114"/>
      <c r="V16" s="114"/>
      <c r="W16" s="114"/>
      <c r="X16" s="114"/>
      <c r="Y16" s="114"/>
      <c r="Z16" s="114"/>
      <c r="AA16" s="114"/>
      <c r="AB16" s="114"/>
      <c r="AC16" s="114"/>
      <c r="AD16" s="114"/>
      <c r="AE16" s="114"/>
      <c r="AF16" s="114"/>
      <c r="AG16" s="114"/>
      <c r="AH16" s="114"/>
      <c r="AI16" s="114"/>
      <c r="AJ16" s="114"/>
      <c r="AK16" s="114"/>
      <c r="AL16" s="114"/>
      <c r="AM16" s="114"/>
      <c r="AN16" s="114"/>
      <c r="AO16" s="114"/>
      <c r="AP16" s="114"/>
      <c r="AQ16" s="114"/>
      <c r="AR16" s="114"/>
      <c r="AS16" s="114"/>
      <c r="AT16" s="114"/>
      <c r="AU16" s="114"/>
    </row>
    <row r="17" spans="2:47" ht="12" customHeight="1" x14ac:dyDescent="0.3">
      <c r="B17" s="3"/>
      <c r="C17" s="3"/>
      <c r="D17" s="3"/>
      <c r="E17" s="3"/>
      <c r="F17" s="3"/>
      <c r="G17" s="3"/>
      <c r="H17" s="3"/>
      <c r="I17" s="1"/>
      <c r="J17" s="325" t="s">
        <v>796</v>
      </c>
      <c r="K17" s="326"/>
      <c r="L17" s="326"/>
      <c r="M17" s="348">
        <f>+E65</f>
        <v>5</v>
      </c>
      <c r="N17" s="349"/>
      <c r="P17" s="114"/>
      <c r="Q17" s="114"/>
      <c r="R17" s="114"/>
      <c r="S17" s="114"/>
      <c r="T17" s="114"/>
      <c r="U17" s="114"/>
      <c r="V17" s="114"/>
      <c r="W17" s="114"/>
      <c r="X17" s="114"/>
      <c r="Y17" s="114"/>
      <c r="Z17" s="114"/>
      <c r="AA17" s="114"/>
      <c r="AB17" s="114"/>
      <c r="AC17" s="114"/>
      <c r="AD17" s="114"/>
      <c r="AE17" s="114"/>
      <c r="AF17" s="114"/>
      <c r="AG17" s="114"/>
      <c r="AH17" s="114"/>
      <c r="AI17" s="114"/>
      <c r="AJ17" s="114"/>
      <c r="AK17" s="114"/>
      <c r="AL17" s="114"/>
      <c r="AM17" s="114"/>
      <c r="AN17" s="114"/>
      <c r="AO17" s="114"/>
      <c r="AP17" s="114"/>
      <c r="AQ17" s="114"/>
      <c r="AR17" s="114"/>
      <c r="AS17" s="114"/>
      <c r="AT17" s="114"/>
      <c r="AU17" s="114"/>
    </row>
    <row r="18" spans="2:47" ht="12" customHeight="1" x14ac:dyDescent="0.3">
      <c r="B18" s="331" t="s">
        <v>841</v>
      </c>
      <c r="C18" s="331"/>
      <c r="D18" s="331"/>
      <c r="E18" s="331"/>
      <c r="F18" s="331"/>
      <c r="G18" s="330">
        <v>0.19</v>
      </c>
      <c r="H18" s="330"/>
      <c r="I18" s="1"/>
      <c r="J18" s="323" t="s">
        <v>792</v>
      </c>
      <c r="K18" s="324"/>
      <c r="L18" s="324"/>
      <c r="M18" s="350">
        <f>IFERROR(IF(F65/E65&gt;=40,(F65)/40,E65),0)</f>
        <v>7.7050000000000001</v>
      </c>
      <c r="N18" s="351"/>
      <c r="P18" s="114"/>
      <c r="Q18" s="114"/>
      <c r="R18" s="114"/>
      <c r="S18" s="114"/>
      <c r="T18" s="114"/>
      <c r="U18" s="114"/>
      <c r="V18" s="114"/>
      <c r="W18" s="114"/>
      <c r="X18" s="114"/>
      <c r="Y18" s="114"/>
      <c r="Z18" s="114"/>
      <c r="AA18" s="114"/>
      <c r="AB18" s="114"/>
      <c r="AC18" s="114"/>
      <c r="AD18" s="114"/>
      <c r="AE18" s="114"/>
      <c r="AF18" s="114"/>
      <c r="AG18" s="114"/>
      <c r="AH18" s="114"/>
      <c r="AI18" s="114"/>
      <c r="AJ18" s="114"/>
      <c r="AK18" s="114"/>
      <c r="AL18" s="114"/>
      <c r="AM18" s="114"/>
      <c r="AN18" s="114"/>
      <c r="AO18" s="114"/>
      <c r="AP18" s="114"/>
      <c r="AQ18" s="114"/>
      <c r="AR18" s="114"/>
      <c r="AS18" s="114"/>
      <c r="AT18" s="114"/>
      <c r="AU18" s="114"/>
    </row>
    <row r="19" spans="2:47" ht="12" customHeight="1" x14ac:dyDescent="0.3">
      <c r="B19" s="331" t="s">
        <v>842</v>
      </c>
      <c r="C19" s="331"/>
      <c r="D19" s="331"/>
      <c r="E19" s="331"/>
      <c r="F19" s="331"/>
      <c r="G19" s="363">
        <v>0</v>
      </c>
      <c r="H19" s="363"/>
      <c r="I19" s="1"/>
      <c r="J19" s="323" t="s">
        <v>793</v>
      </c>
      <c r="K19" s="324"/>
      <c r="L19" s="324"/>
      <c r="M19" s="358">
        <f>+E36+E52</f>
        <v>740.99</v>
      </c>
      <c r="N19" s="351"/>
      <c r="P19" s="114"/>
      <c r="Q19" s="114"/>
      <c r="R19" s="114"/>
      <c r="S19" s="114"/>
      <c r="T19" s="114"/>
      <c r="U19" s="114"/>
      <c r="V19" s="114"/>
      <c r="W19" s="114"/>
      <c r="X19" s="114"/>
      <c r="Y19" s="114"/>
      <c r="Z19" s="114"/>
      <c r="AA19" s="114"/>
      <c r="AB19" s="114"/>
      <c r="AC19" s="114"/>
      <c r="AD19" s="114"/>
      <c r="AE19" s="114"/>
      <c r="AF19" s="114"/>
      <c r="AG19" s="114"/>
      <c r="AH19" s="114"/>
      <c r="AI19" s="114"/>
      <c r="AJ19" s="114"/>
      <c r="AK19" s="114"/>
      <c r="AL19" s="114"/>
      <c r="AM19" s="114"/>
      <c r="AN19" s="114"/>
      <c r="AO19" s="114"/>
      <c r="AP19" s="114"/>
      <c r="AQ19" s="114"/>
      <c r="AR19" s="114"/>
      <c r="AS19" s="114"/>
      <c r="AT19" s="114"/>
      <c r="AU19" s="114"/>
    </row>
    <row r="20" spans="2:47" ht="12" customHeight="1" thickBot="1" x14ac:dyDescent="0.35">
      <c r="B20" s="3"/>
      <c r="C20" s="3"/>
      <c r="D20" s="3"/>
      <c r="E20" s="3"/>
      <c r="F20" s="3"/>
      <c r="G20" s="3"/>
      <c r="H20" s="3"/>
      <c r="I20" s="1"/>
      <c r="J20" s="321" t="s">
        <v>794</v>
      </c>
      <c r="K20" s="322"/>
      <c r="L20" s="322"/>
      <c r="M20" s="359">
        <f>+E47</f>
        <v>0</v>
      </c>
      <c r="N20" s="360"/>
      <c r="P20" s="114"/>
      <c r="Q20" s="114"/>
      <c r="R20" s="114"/>
      <c r="S20" s="114"/>
      <c r="T20" s="114"/>
      <c r="U20" s="114"/>
      <c r="V20" s="114"/>
      <c r="W20" s="114"/>
      <c r="X20" s="114"/>
      <c r="Y20" s="114"/>
      <c r="Z20" s="114"/>
      <c r="AA20" s="114"/>
      <c r="AB20" s="114"/>
      <c r="AC20" s="114"/>
      <c r="AD20" s="114"/>
      <c r="AE20" s="114"/>
      <c r="AF20" s="114"/>
      <c r="AG20" s="114"/>
      <c r="AH20" s="114"/>
      <c r="AI20" s="114"/>
      <c r="AJ20" s="114"/>
      <c r="AK20" s="114"/>
      <c r="AL20" s="114"/>
      <c r="AM20" s="114"/>
      <c r="AN20" s="114"/>
      <c r="AO20" s="114"/>
      <c r="AP20" s="114"/>
      <c r="AQ20" s="114"/>
      <c r="AR20" s="114"/>
      <c r="AS20" s="114"/>
      <c r="AT20" s="114"/>
      <c r="AU20" s="114"/>
    </row>
    <row r="21" spans="2:47" ht="12" customHeight="1" thickBot="1" x14ac:dyDescent="0.35">
      <c r="B21" s="331" t="s">
        <v>843</v>
      </c>
      <c r="C21" s="331"/>
      <c r="D21" s="331"/>
      <c r="E21" s="355" t="s">
        <v>860</v>
      </c>
      <c r="F21" s="356"/>
      <c r="G21" s="356"/>
      <c r="H21" s="357"/>
      <c r="I21" s="1"/>
      <c r="J21" s="327" t="s">
        <v>795</v>
      </c>
      <c r="K21" s="328"/>
      <c r="L21" s="328"/>
      <c r="M21" s="361">
        <f>OFERTA!H70</f>
        <v>1280</v>
      </c>
      <c r="N21" s="362"/>
      <c r="P21" s="114"/>
      <c r="Q21" s="114"/>
      <c r="R21" s="114"/>
      <c r="S21" s="114"/>
      <c r="T21" s="114"/>
      <c r="U21" s="114"/>
      <c r="V21" s="114"/>
      <c r="W21" s="114"/>
      <c r="X21" s="114"/>
      <c r="Y21" s="114"/>
      <c r="Z21" s="114"/>
      <c r="AA21" s="114"/>
      <c r="AB21" s="114"/>
      <c r="AC21" s="114"/>
      <c r="AD21" s="114"/>
      <c r="AE21" s="114"/>
      <c r="AF21" s="114"/>
      <c r="AG21" s="114"/>
      <c r="AH21" s="114"/>
      <c r="AI21" s="114"/>
      <c r="AJ21" s="114"/>
      <c r="AK21" s="114"/>
      <c r="AL21" s="114"/>
      <c r="AM21" s="114"/>
      <c r="AN21" s="114"/>
      <c r="AO21" s="114"/>
      <c r="AP21" s="114"/>
      <c r="AQ21" s="114"/>
      <c r="AR21" s="114"/>
      <c r="AS21" s="114"/>
      <c r="AT21" s="114"/>
      <c r="AU21" s="114"/>
    </row>
    <row r="22" spans="2:47" ht="5.0999999999999996" customHeight="1" x14ac:dyDescent="0.3">
      <c r="I22" s="1"/>
      <c r="J22" s="1"/>
      <c r="K22" s="1"/>
      <c r="P22" s="114"/>
      <c r="Q22" s="114"/>
      <c r="R22" s="114"/>
      <c r="S22" s="114"/>
      <c r="T22" s="114"/>
      <c r="U22" s="114"/>
      <c r="V22" s="114"/>
      <c r="W22" s="114"/>
      <c r="X22" s="114"/>
      <c r="Y22" s="114"/>
      <c r="Z22" s="114"/>
      <c r="AA22" s="114"/>
      <c r="AB22" s="114"/>
      <c r="AC22" s="114"/>
      <c r="AD22" s="114"/>
      <c r="AE22" s="114"/>
      <c r="AF22" s="114"/>
      <c r="AG22" s="114"/>
      <c r="AH22" s="114"/>
      <c r="AI22" s="114"/>
      <c r="AJ22" s="114"/>
      <c r="AK22" s="114"/>
      <c r="AL22" s="114"/>
      <c r="AM22" s="114"/>
      <c r="AN22" s="114"/>
      <c r="AO22" s="114"/>
      <c r="AP22" s="114"/>
      <c r="AQ22" s="114"/>
      <c r="AR22" s="114"/>
      <c r="AS22" s="114"/>
      <c r="AT22" s="114"/>
      <c r="AU22" s="114"/>
    </row>
    <row r="23" spans="2:47" x14ac:dyDescent="0.3">
      <c r="B23" s="332" t="s">
        <v>778</v>
      </c>
      <c r="C23" s="332"/>
      <c r="D23" s="332"/>
      <c r="E23" s="332"/>
      <c r="F23" s="332"/>
      <c r="G23" s="332"/>
      <c r="H23" s="2"/>
      <c r="I23" s="332" t="s">
        <v>782</v>
      </c>
      <c r="J23" s="332"/>
      <c r="K23" s="332"/>
      <c r="L23" s="332"/>
      <c r="M23" s="332"/>
      <c r="N23" s="332"/>
      <c r="P23" s="114"/>
      <c r="Q23" s="114"/>
      <c r="R23" s="114"/>
      <c r="S23" s="114"/>
      <c r="T23" s="114"/>
      <c r="U23" s="114"/>
      <c r="V23" s="114"/>
      <c r="W23" s="114"/>
      <c r="X23" s="114"/>
      <c r="Y23" s="114"/>
      <c r="Z23" s="114"/>
      <c r="AA23" s="114"/>
      <c r="AB23" s="114"/>
      <c r="AC23" s="114"/>
      <c r="AD23" s="114"/>
      <c r="AE23" s="114"/>
      <c r="AF23" s="114"/>
      <c r="AG23" s="114"/>
      <c r="AH23" s="114"/>
      <c r="AI23" s="114"/>
      <c r="AJ23" s="114"/>
      <c r="AK23" s="114"/>
      <c r="AL23" s="114"/>
      <c r="AM23" s="114"/>
      <c r="AN23" s="114"/>
      <c r="AO23" s="114"/>
      <c r="AP23" s="114"/>
      <c r="AQ23" s="114"/>
      <c r="AR23" s="114"/>
      <c r="AS23" s="114"/>
      <c r="AT23" s="114"/>
      <c r="AU23" s="114"/>
    </row>
    <row r="24" spans="2:47" ht="12" customHeight="1" x14ac:dyDescent="0.3">
      <c r="B24" s="329" t="s">
        <v>844</v>
      </c>
      <c r="C24" s="329"/>
      <c r="D24" s="329"/>
      <c r="E24" s="335">
        <f>OFERTA!H24</f>
        <v>652</v>
      </c>
      <c r="F24" s="335"/>
      <c r="G24" s="335"/>
      <c r="H24" s="69"/>
      <c r="I24" s="314"/>
      <c r="J24" s="314"/>
      <c r="K24" s="314"/>
      <c r="L24" s="314"/>
      <c r="M24" s="314"/>
      <c r="N24" s="314"/>
      <c r="P24" s="114"/>
      <c r="Q24" s="114"/>
      <c r="R24" s="114"/>
      <c r="S24" s="114"/>
      <c r="T24" s="114"/>
      <c r="U24" s="114"/>
      <c r="V24" s="114"/>
      <c r="W24" s="114"/>
      <c r="X24" s="114"/>
      <c r="Y24" s="114"/>
      <c r="Z24" s="114"/>
      <c r="AA24" s="114"/>
      <c r="AB24" s="114"/>
      <c r="AC24" s="114"/>
      <c r="AD24" s="114"/>
      <c r="AE24" s="114"/>
      <c r="AF24" s="114"/>
      <c r="AG24" s="114"/>
      <c r="AH24" s="114"/>
      <c r="AI24" s="114"/>
      <c r="AJ24" s="114"/>
      <c r="AK24" s="114"/>
      <c r="AL24" s="114"/>
      <c r="AM24" s="114"/>
      <c r="AN24" s="114"/>
      <c r="AO24" s="114"/>
      <c r="AP24" s="114"/>
      <c r="AQ24" s="114"/>
      <c r="AR24" s="114"/>
      <c r="AS24" s="114"/>
      <c r="AT24" s="114"/>
      <c r="AU24" s="114"/>
    </row>
    <row r="25" spans="2:47" ht="12" customHeight="1" x14ac:dyDescent="0.3">
      <c r="B25" s="329" t="s">
        <v>845</v>
      </c>
      <c r="C25" s="329"/>
      <c r="D25" s="329"/>
      <c r="E25" s="335">
        <f>OFERTA!H55</f>
        <v>0</v>
      </c>
      <c r="F25" s="335"/>
      <c r="G25" s="335"/>
      <c r="H25" s="69"/>
      <c r="I25" s="314"/>
      <c r="J25" s="314"/>
      <c r="K25" s="314"/>
      <c r="L25" s="314"/>
      <c r="M25" s="314"/>
      <c r="N25" s="314"/>
      <c r="P25" s="114"/>
      <c r="Q25" s="114"/>
      <c r="R25" s="114"/>
      <c r="S25" s="114"/>
      <c r="T25" s="114"/>
      <c r="U25" s="114"/>
      <c r="V25" s="114"/>
      <c r="W25" s="114"/>
      <c r="X25" s="114"/>
      <c r="Y25" s="114"/>
      <c r="Z25" s="114"/>
      <c r="AA25" s="114"/>
      <c r="AB25" s="114"/>
      <c r="AC25" s="114"/>
      <c r="AD25" s="114"/>
      <c r="AE25" s="114"/>
      <c r="AF25" s="114"/>
      <c r="AG25" s="114"/>
      <c r="AH25" s="114"/>
      <c r="AI25" s="114"/>
      <c r="AJ25" s="114"/>
      <c r="AK25" s="114"/>
      <c r="AL25" s="114"/>
      <c r="AM25" s="114"/>
      <c r="AN25" s="114"/>
      <c r="AO25" s="114"/>
      <c r="AP25" s="114"/>
      <c r="AQ25" s="114"/>
      <c r="AR25" s="114"/>
      <c r="AS25" s="114"/>
      <c r="AT25" s="114"/>
      <c r="AU25" s="114"/>
    </row>
    <row r="26" spans="2:47" ht="12" customHeight="1" x14ac:dyDescent="0.3">
      <c r="B26" s="329" t="s">
        <v>846</v>
      </c>
      <c r="C26" s="329"/>
      <c r="D26" s="329"/>
      <c r="E26" s="335">
        <f>OFERTA!H49</f>
        <v>88.99</v>
      </c>
      <c r="F26" s="335"/>
      <c r="G26" s="335"/>
      <c r="H26" s="69"/>
      <c r="I26" s="314"/>
      <c r="J26" s="314"/>
      <c r="K26" s="314"/>
      <c r="L26" s="314"/>
      <c r="M26" s="314"/>
      <c r="N26" s="314"/>
      <c r="P26" s="114"/>
      <c r="Q26" s="114"/>
      <c r="R26" s="114"/>
      <c r="S26" s="114"/>
      <c r="T26" s="114"/>
      <c r="U26" s="114"/>
      <c r="V26" s="114"/>
      <c r="W26" s="114"/>
      <c r="X26" s="114"/>
      <c r="Y26" s="114"/>
      <c r="Z26" s="114"/>
      <c r="AA26" s="114"/>
      <c r="AB26" s="114"/>
      <c r="AC26" s="114"/>
      <c r="AD26" s="114"/>
      <c r="AE26" s="114"/>
      <c r="AF26" s="114"/>
      <c r="AG26" s="114"/>
      <c r="AH26" s="114"/>
      <c r="AI26" s="114"/>
      <c r="AJ26" s="114"/>
      <c r="AK26" s="114"/>
      <c r="AL26" s="114"/>
      <c r="AM26" s="114"/>
      <c r="AN26" s="114"/>
      <c r="AO26" s="114"/>
      <c r="AP26" s="114"/>
      <c r="AQ26" s="114"/>
      <c r="AR26" s="114"/>
      <c r="AS26" s="114"/>
      <c r="AT26" s="114"/>
      <c r="AU26" s="114"/>
    </row>
    <row r="27" spans="2:47" ht="12" customHeight="1" x14ac:dyDescent="0.3">
      <c r="B27" s="329" t="s">
        <v>810</v>
      </c>
      <c r="C27" s="329"/>
      <c r="D27" s="329"/>
      <c r="E27" s="335"/>
      <c r="F27" s="335"/>
      <c r="G27" s="335"/>
      <c r="H27" s="69"/>
      <c r="I27" s="314"/>
      <c r="J27" s="314"/>
      <c r="K27" s="314"/>
      <c r="L27" s="314"/>
      <c r="M27" s="314"/>
      <c r="N27" s="314"/>
      <c r="P27" s="114"/>
      <c r="Q27" s="114"/>
      <c r="R27" s="114"/>
      <c r="S27" s="114"/>
      <c r="T27" s="114"/>
      <c r="U27" s="114"/>
      <c r="V27" s="114"/>
      <c r="W27" s="114"/>
      <c r="X27" s="114"/>
      <c r="Y27" s="114"/>
      <c r="Z27" s="114"/>
      <c r="AA27" s="114"/>
      <c r="AB27" s="114"/>
      <c r="AC27" s="114"/>
      <c r="AD27" s="114"/>
      <c r="AE27" s="114"/>
      <c r="AF27" s="114"/>
      <c r="AG27" s="114"/>
      <c r="AH27" s="114"/>
      <c r="AI27" s="114"/>
      <c r="AJ27" s="114"/>
      <c r="AK27" s="114"/>
      <c r="AL27" s="114"/>
      <c r="AM27" s="114"/>
      <c r="AN27" s="114"/>
      <c r="AO27" s="114"/>
      <c r="AP27" s="114"/>
      <c r="AQ27" s="114"/>
      <c r="AR27" s="114"/>
      <c r="AS27" s="114"/>
      <c r="AT27" s="114"/>
      <c r="AU27" s="114"/>
    </row>
    <row r="28" spans="2:47" ht="12" customHeight="1" x14ac:dyDescent="0.3">
      <c r="B28" s="329" t="s">
        <v>779</v>
      </c>
      <c r="C28" s="329"/>
      <c r="D28" s="329"/>
      <c r="E28" s="335"/>
      <c r="F28" s="335"/>
      <c r="G28" s="335"/>
      <c r="H28" s="69"/>
      <c r="I28" s="314"/>
      <c r="J28" s="314"/>
      <c r="K28" s="314"/>
      <c r="L28" s="314"/>
      <c r="M28" s="314"/>
      <c r="N28" s="314"/>
      <c r="P28" s="114"/>
      <c r="Q28" s="114"/>
      <c r="R28" s="114"/>
      <c r="S28" s="114"/>
      <c r="T28" s="114"/>
      <c r="U28" s="114"/>
      <c r="V28" s="114"/>
      <c r="W28" s="114"/>
      <c r="X28" s="114"/>
      <c r="Y28" s="114"/>
      <c r="Z28" s="114"/>
      <c r="AA28" s="114"/>
      <c r="AB28" s="114"/>
      <c r="AC28" s="114"/>
      <c r="AD28" s="114"/>
      <c r="AE28" s="114"/>
      <c r="AF28" s="114"/>
      <c r="AG28" s="114"/>
      <c r="AH28" s="114"/>
      <c r="AI28" s="114"/>
      <c r="AJ28" s="114"/>
      <c r="AK28" s="114"/>
      <c r="AL28" s="114"/>
      <c r="AM28" s="114"/>
      <c r="AN28" s="114"/>
      <c r="AO28" s="114"/>
      <c r="AP28" s="114"/>
      <c r="AQ28" s="114"/>
      <c r="AR28" s="114"/>
      <c r="AS28" s="114"/>
      <c r="AT28" s="114"/>
      <c r="AU28" s="114"/>
    </row>
    <row r="29" spans="2:47" ht="12" customHeight="1" x14ac:dyDescent="0.3">
      <c r="B29" s="329" t="s">
        <v>780</v>
      </c>
      <c r="C29" s="329"/>
      <c r="D29" s="329"/>
      <c r="E29" s="335"/>
      <c r="F29" s="335"/>
      <c r="G29" s="335"/>
      <c r="H29" s="69"/>
      <c r="I29" s="314"/>
      <c r="J29" s="314"/>
      <c r="K29" s="314"/>
      <c r="L29" s="314"/>
      <c r="M29" s="314"/>
      <c r="N29" s="314"/>
      <c r="P29" s="114"/>
      <c r="Q29" s="114"/>
      <c r="R29" s="114"/>
      <c r="S29" s="114"/>
      <c r="T29" s="114"/>
      <c r="U29" s="114"/>
      <c r="V29" s="114"/>
      <c r="W29" s="114"/>
      <c r="X29" s="114"/>
      <c r="Y29" s="114"/>
      <c r="Z29" s="114"/>
      <c r="AA29" s="114"/>
      <c r="AB29" s="114"/>
      <c r="AC29" s="114"/>
      <c r="AD29" s="114"/>
      <c r="AE29" s="114"/>
      <c r="AF29" s="114"/>
      <c r="AG29" s="114"/>
      <c r="AH29" s="114"/>
      <c r="AI29" s="114"/>
      <c r="AJ29" s="114"/>
      <c r="AK29" s="114"/>
      <c r="AL29" s="114"/>
      <c r="AM29" s="114"/>
      <c r="AN29" s="114"/>
      <c r="AO29" s="114"/>
      <c r="AP29" s="114"/>
      <c r="AQ29" s="114"/>
      <c r="AR29" s="114"/>
      <c r="AS29" s="114"/>
      <c r="AT29" s="114"/>
      <c r="AU29" s="114"/>
    </row>
    <row r="30" spans="2:47" ht="12" customHeight="1" x14ac:dyDescent="0.3">
      <c r="B30" s="329" t="s">
        <v>804</v>
      </c>
      <c r="C30" s="329"/>
      <c r="D30" s="329"/>
      <c r="E30" s="335"/>
      <c r="F30" s="335"/>
      <c r="G30" s="335"/>
      <c r="H30" s="69"/>
      <c r="I30" s="314"/>
      <c r="J30" s="314"/>
      <c r="K30" s="314"/>
      <c r="L30" s="314"/>
      <c r="M30" s="314"/>
      <c r="N30" s="314"/>
      <c r="P30" s="114"/>
      <c r="Q30" s="114"/>
      <c r="R30" s="114"/>
      <c r="S30" s="114"/>
      <c r="T30" s="114"/>
      <c r="U30" s="114"/>
      <c r="V30" s="114"/>
      <c r="W30" s="114"/>
      <c r="X30" s="114"/>
      <c r="Y30" s="114"/>
      <c r="Z30" s="114"/>
      <c r="AA30" s="114"/>
      <c r="AB30" s="114"/>
      <c r="AC30" s="114"/>
      <c r="AD30" s="114"/>
      <c r="AE30" s="114"/>
      <c r="AF30" s="114"/>
      <c r="AG30" s="114"/>
      <c r="AH30" s="114"/>
      <c r="AI30" s="114"/>
      <c r="AJ30" s="114"/>
      <c r="AK30" s="114"/>
      <c r="AL30" s="114"/>
      <c r="AM30" s="114"/>
      <c r="AN30" s="114"/>
      <c r="AO30" s="114"/>
      <c r="AP30" s="114"/>
      <c r="AQ30" s="114"/>
      <c r="AR30" s="114"/>
      <c r="AS30" s="114"/>
      <c r="AT30" s="114"/>
      <c r="AU30" s="114"/>
    </row>
    <row r="31" spans="2:47" ht="12" customHeight="1" x14ac:dyDescent="0.3">
      <c r="B31" s="329" t="s">
        <v>847</v>
      </c>
      <c r="C31" s="329"/>
      <c r="D31" s="329"/>
      <c r="E31" s="335"/>
      <c r="F31" s="335"/>
      <c r="G31" s="335"/>
      <c r="H31" s="69"/>
      <c r="I31" s="314"/>
      <c r="J31" s="314"/>
      <c r="K31" s="314"/>
      <c r="L31" s="314"/>
      <c r="M31" s="314"/>
      <c r="N31" s="314"/>
      <c r="P31" s="114"/>
      <c r="Q31" s="114"/>
      <c r="R31" s="114"/>
      <c r="S31" s="114"/>
      <c r="T31" s="114"/>
      <c r="U31" s="114"/>
      <c r="V31" s="114"/>
      <c r="W31" s="114"/>
      <c r="X31" s="114"/>
      <c r="Y31" s="114"/>
      <c r="Z31" s="114"/>
      <c r="AA31" s="114"/>
      <c r="AB31" s="114"/>
      <c r="AC31" s="114"/>
      <c r="AD31" s="114"/>
      <c r="AE31" s="114"/>
      <c r="AF31" s="114"/>
      <c r="AG31" s="114"/>
      <c r="AH31" s="114"/>
      <c r="AI31" s="114"/>
      <c r="AJ31" s="114"/>
      <c r="AK31" s="114"/>
      <c r="AL31" s="114"/>
      <c r="AM31" s="114"/>
      <c r="AN31" s="114"/>
      <c r="AO31" s="114"/>
      <c r="AP31" s="114"/>
      <c r="AQ31" s="114"/>
      <c r="AR31" s="114"/>
      <c r="AS31" s="114"/>
      <c r="AT31" s="114"/>
      <c r="AU31" s="114"/>
    </row>
    <row r="32" spans="2:47" ht="12" customHeight="1" x14ac:dyDescent="0.3">
      <c r="B32" s="329" t="s">
        <v>805</v>
      </c>
      <c r="C32" s="329"/>
      <c r="D32" s="329"/>
      <c r="E32" s="335"/>
      <c r="F32" s="335"/>
      <c r="G32" s="335"/>
      <c r="H32" s="69"/>
      <c r="I32" s="314"/>
      <c r="J32" s="314"/>
      <c r="K32" s="314"/>
      <c r="L32" s="314"/>
      <c r="M32" s="314"/>
      <c r="N32" s="314"/>
      <c r="P32" s="114"/>
      <c r="Q32" s="114"/>
      <c r="R32" s="114"/>
      <c r="S32" s="114"/>
      <c r="T32" s="114"/>
      <c r="U32" s="114"/>
      <c r="V32" s="114"/>
      <c r="W32" s="114"/>
      <c r="X32" s="114"/>
      <c r="Y32" s="114"/>
      <c r="Z32" s="114"/>
      <c r="AA32" s="114"/>
      <c r="AB32" s="114"/>
      <c r="AC32" s="114"/>
      <c r="AD32" s="114"/>
      <c r="AE32" s="114"/>
      <c r="AF32" s="114"/>
      <c r="AG32" s="114"/>
      <c r="AH32" s="114"/>
      <c r="AI32" s="114"/>
      <c r="AJ32" s="114"/>
      <c r="AK32" s="114"/>
      <c r="AL32" s="114"/>
      <c r="AM32" s="114"/>
      <c r="AN32" s="114"/>
      <c r="AO32" s="114"/>
      <c r="AP32" s="114"/>
      <c r="AQ32" s="114"/>
      <c r="AR32" s="114"/>
      <c r="AS32" s="114"/>
      <c r="AT32" s="114"/>
      <c r="AU32" s="114"/>
    </row>
    <row r="33" spans="2:47" ht="12" customHeight="1" x14ac:dyDescent="0.3">
      <c r="B33" s="329" t="s">
        <v>780</v>
      </c>
      <c r="C33" s="329"/>
      <c r="D33" s="329"/>
      <c r="E33" s="335"/>
      <c r="F33" s="335"/>
      <c r="G33" s="335"/>
      <c r="H33" s="69"/>
      <c r="I33" s="314"/>
      <c r="J33" s="314"/>
      <c r="K33" s="314"/>
      <c r="L33" s="314"/>
      <c r="M33" s="314"/>
      <c r="N33" s="314"/>
      <c r="P33" s="114"/>
      <c r="Q33" s="114"/>
      <c r="R33" s="114"/>
      <c r="S33" s="114"/>
      <c r="T33" s="114"/>
      <c r="U33" s="114"/>
      <c r="V33" s="114"/>
      <c r="W33" s="114"/>
      <c r="X33" s="114"/>
      <c r="Y33" s="114"/>
      <c r="Z33" s="114"/>
      <c r="AA33" s="114"/>
      <c r="AB33" s="114"/>
      <c r="AC33" s="114"/>
      <c r="AD33" s="114"/>
      <c r="AE33" s="114"/>
      <c r="AF33" s="114"/>
      <c r="AG33" s="114"/>
      <c r="AH33" s="114"/>
      <c r="AI33" s="114"/>
      <c r="AJ33" s="114"/>
      <c r="AK33" s="114"/>
      <c r="AL33" s="114"/>
      <c r="AM33" s="114"/>
      <c r="AN33" s="114"/>
      <c r="AO33" s="114"/>
      <c r="AP33" s="114"/>
      <c r="AQ33" s="114"/>
      <c r="AR33" s="114"/>
      <c r="AS33" s="114"/>
      <c r="AT33" s="114"/>
      <c r="AU33" s="114"/>
    </row>
    <row r="34" spans="2:47" ht="12" customHeight="1" x14ac:dyDescent="0.3">
      <c r="B34" s="329" t="s">
        <v>780</v>
      </c>
      <c r="C34" s="329"/>
      <c r="D34" s="329"/>
      <c r="E34" s="335"/>
      <c r="F34" s="335"/>
      <c r="G34" s="335"/>
      <c r="H34" s="69"/>
      <c r="I34" s="314"/>
      <c r="J34" s="314"/>
      <c r="K34" s="314"/>
      <c r="L34" s="314"/>
      <c r="M34" s="314"/>
      <c r="N34" s="3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  <c r="AC34" s="114"/>
      <c r="AD34" s="114"/>
      <c r="AE34" s="114"/>
      <c r="AF34" s="114"/>
      <c r="AG34" s="114"/>
      <c r="AH34" s="114"/>
      <c r="AI34" s="114"/>
      <c r="AJ34" s="114"/>
      <c r="AK34" s="114"/>
      <c r="AL34" s="114"/>
      <c r="AM34" s="114"/>
      <c r="AN34" s="114"/>
      <c r="AO34" s="114"/>
      <c r="AP34" s="114"/>
      <c r="AQ34" s="114"/>
      <c r="AR34" s="114"/>
      <c r="AS34" s="114"/>
      <c r="AT34" s="114"/>
      <c r="AU34" s="114"/>
    </row>
    <row r="35" spans="2:47" ht="12" customHeight="1" x14ac:dyDescent="0.3">
      <c r="B35" s="329" t="s">
        <v>780</v>
      </c>
      <c r="C35" s="329"/>
      <c r="D35" s="329"/>
      <c r="E35" s="335"/>
      <c r="F35" s="335"/>
      <c r="G35" s="335"/>
      <c r="H35" s="69"/>
      <c r="I35" s="314"/>
      <c r="J35" s="314"/>
      <c r="K35" s="314"/>
      <c r="L35" s="314"/>
      <c r="M35" s="314"/>
      <c r="N35" s="314"/>
      <c r="P35" s="114"/>
      <c r="Q35" s="114"/>
      <c r="R35" s="114"/>
      <c r="S35" s="114"/>
      <c r="T35" s="114"/>
      <c r="U35" s="114"/>
      <c r="V35" s="114"/>
      <c r="W35" s="114"/>
      <c r="X35" s="114"/>
      <c r="Y35" s="114"/>
      <c r="Z35" s="114"/>
      <c r="AA35" s="114"/>
      <c r="AB35" s="114"/>
      <c r="AC35" s="114"/>
      <c r="AD35" s="114"/>
      <c r="AE35" s="114"/>
      <c r="AF35" s="114"/>
      <c r="AG35" s="114"/>
      <c r="AH35" s="114"/>
      <c r="AI35" s="114"/>
      <c r="AJ35" s="114"/>
      <c r="AK35" s="114"/>
      <c r="AL35" s="114"/>
      <c r="AM35" s="114"/>
      <c r="AN35" s="114"/>
      <c r="AO35" s="114"/>
      <c r="AP35" s="114"/>
      <c r="AQ35" s="114"/>
      <c r="AR35" s="114"/>
      <c r="AS35" s="114"/>
      <c r="AT35" s="114"/>
      <c r="AU35" s="114"/>
    </row>
    <row r="36" spans="2:47" ht="12" customHeight="1" x14ac:dyDescent="0.3">
      <c r="B36" s="310" t="s">
        <v>848</v>
      </c>
      <c r="C36" s="310"/>
      <c r="D36" s="310"/>
      <c r="E36" s="333">
        <f>SUM(E24:G35)</f>
        <v>740.99</v>
      </c>
      <c r="F36" s="334"/>
      <c r="G36" s="334"/>
      <c r="H36" s="69"/>
      <c r="I36" s="314"/>
      <c r="J36" s="314"/>
      <c r="K36" s="314"/>
      <c r="L36" s="314"/>
      <c r="M36" s="314"/>
      <c r="N36" s="314"/>
      <c r="P36" s="114"/>
      <c r="Q36" s="114"/>
      <c r="R36" s="114"/>
      <c r="S36" s="114"/>
      <c r="T36" s="114"/>
      <c r="U36" s="114"/>
      <c r="V36" s="114"/>
      <c r="W36" s="114"/>
      <c r="X36" s="114"/>
      <c r="Y36" s="114"/>
      <c r="Z36" s="114"/>
      <c r="AA36" s="114"/>
      <c r="AB36" s="114"/>
      <c r="AC36" s="114"/>
      <c r="AD36" s="114"/>
      <c r="AE36" s="114"/>
      <c r="AF36" s="114"/>
      <c r="AG36" s="114"/>
      <c r="AH36" s="114"/>
      <c r="AI36" s="114"/>
      <c r="AJ36" s="114"/>
      <c r="AK36" s="114"/>
      <c r="AL36" s="114"/>
      <c r="AM36" s="114"/>
      <c r="AN36" s="114"/>
      <c r="AO36" s="114"/>
      <c r="AP36" s="114"/>
      <c r="AQ36" s="114"/>
      <c r="AR36" s="114"/>
      <c r="AS36" s="114"/>
      <c r="AT36" s="114"/>
      <c r="AU36" s="114"/>
    </row>
    <row r="37" spans="2:47" ht="5.0999999999999996" customHeight="1" x14ac:dyDescent="0.3">
      <c r="P37" s="114"/>
      <c r="Q37" s="114"/>
      <c r="R37" s="114"/>
      <c r="S37" s="114"/>
      <c r="T37" s="114"/>
      <c r="U37" s="114"/>
      <c r="V37" s="114"/>
      <c r="W37" s="114"/>
      <c r="X37" s="114"/>
      <c r="Y37" s="114"/>
      <c r="Z37" s="114"/>
      <c r="AA37" s="114"/>
      <c r="AB37" s="114"/>
      <c r="AC37" s="114"/>
      <c r="AD37" s="114"/>
      <c r="AE37" s="114"/>
      <c r="AF37" s="114"/>
      <c r="AG37" s="114"/>
      <c r="AH37" s="114"/>
      <c r="AI37" s="114"/>
      <c r="AJ37" s="114"/>
      <c r="AK37" s="114"/>
      <c r="AL37" s="114"/>
      <c r="AM37" s="114"/>
      <c r="AN37" s="114"/>
      <c r="AO37" s="114"/>
      <c r="AP37" s="114"/>
      <c r="AQ37" s="114"/>
      <c r="AR37" s="114"/>
      <c r="AS37" s="114"/>
      <c r="AT37" s="114"/>
      <c r="AU37" s="114"/>
    </row>
    <row r="38" spans="2:47" x14ac:dyDescent="0.3">
      <c r="B38" s="332" t="s">
        <v>783</v>
      </c>
      <c r="C38" s="332"/>
      <c r="D38" s="332"/>
      <c r="E38" s="332"/>
      <c r="F38" s="332"/>
      <c r="G38" s="332"/>
      <c r="H38" s="2"/>
      <c r="I38" s="332" t="s">
        <v>782</v>
      </c>
      <c r="J38" s="332"/>
      <c r="K38" s="332"/>
      <c r="L38" s="332"/>
      <c r="M38" s="332"/>
      <c r="N38" s="332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Z38" s="114"/>
      <c r="AA38" s="114"/>
      <c r="AB38" s="114"/>
      <c r="AC38" s="114"/>
      <c r="AD38" s="114"/>
      <c r="AE38" s="114"/>
      <c r="AF38" s="114"/>
      <c r="AG38" s="114"/>
      <c r="AH38" s="114"/>
      <c r="AI38" s="114"/>
      <c r="AJ38" s="114"/>
      <c r="AK38" s="114"/>
      <c r="AL38" s="114"/>
      <c r="AM38" s="114"/>
      <c r="AN38" s="114"/>
      <c r="AO38" s="114"/>
      <c r="AP38" s="114"/>
      <c r="AQ38" s="114"/>
      <c r="AR38" s="114"/>
      <c r="AS38" s="114"/>
      <c r="AT38" s="114"/>
      <c r="AU38" s="114"/>
    </row>
    <row r="39" spans="2:47" ht="12" customHeight="1" x14ac:dyDescent="0.3">
      <c r="B39" s="329" t="s">
        <v>784</v>
      </c>
      <c r="C39" s="329"/>
      <c r="D39" s="329"/>
      <c r="E39" s="335">
        <f>OFERTA!H66</f>
        <v>0</v>
      </c>
      <c r="F39" s="335"/>
      <c r="G39" s="335"/>
      <c r="H39" s="69"/>
      <c r="I39" s="314" t="s">
        <v>814</v>
      </c>
      <c r="J39" s="314"/>
      <c r="K39" s="314"/>
      <c r="L39" s="314"/>
      <c r="M39" s="314"/>
      <c r="N39" s="314"/>
      <c r="P39" s="114"/>
      <c r="Q39" s="114"/>
      <c r="R39" s="114"/>
      <c r="S39" s="114"/>
      <c r="T39" s="114"/>
      <c r="U39" s="114"/>
      <c r="V39" s="114"/>
      <c r="W39" s="114"/>
      <c r="X39" s="114"/>
      <c r="Y39" s="114"/>
      <c r="Z39" s="114"/>
      <c r="AA39" s="114"/>
      <c r="AB39" s="114"/>
      <c r="AC39" s="114"/>
      <c r="AD39" s="114"/>
      <c r="AE39" s="114"/>
      <c r="AF39" s="114"/>
      <c r="AG39" s="114"/>
      <c r="AH39" s="114"/>
      <c r="AI39" s="114"/>
      <c r="AJ39" s="114"/>
      <c r="AK39" s="114"/>
      <c r="AL39" s="114"/>
      <c r="AM39" s="114"/>
      <c r="AN39" s="114"/>
      <c r="AO39" s="114"/>
      <c r="AP39" s="114"/>
      <c r="AQ39" s="114"/>
      <c r="AR39" s="114"/>
      <c r="AS39" s="114"/>
      <c r="AT39" s="114"/>
      <c r="AU39" s="114"/>
    </row>
    <row r="40" spans="2:47" ht="12" customHeight="1" x14ac:dyDescent="0.3">
      <c r="B40" s="329" t="s">
        <v>849</v>
      </c>
      <c r="C40" s="329"/>
      <c r="D40" s="329"/>
      <c r="E40" s="335"/>
      <c r="F40" s="335"/>
      <c r="G40" s="335"/>
      <c r="I40" s="314"/>
      <c r="J40" s="314"/>
      <c r="K40" s="314"/>
      <c r="L40" s="314"/>
      <c r="M40" s="314"/>
      <c r="N40" s="314"/>
      <c r="P40" s="114"/>
      <c r="Q40" s="114"/>
      <c r="R40" s="114"/>
      <c r="S40" s="114"/>
      <c r="T40" s="114"/>
      <c r="U40" s="114"/>
      <c r="V40" s="114"/>
      <c r="W40" s="114"/>
      <c r="X40" s="114"/>
      <c r="Y40" s="114"/>
      <c r="Z40" s="114"/>
      <c r="AA40" s="114"/>
      <c r="AB40" s="114"/>
      <c r="AC40" s="114"/>
      <c r="AD40" s="114"/>
      <c r="AE40" s="114"/>
      <c r="AF40" s="114"/>
      <c r="AG40" s="114"/>
      <c r="AH40" s="114"/>
      <c r="AI40" s="114"/>
      <c r="AJ40" s="114"/>
      <c r="AK40" s="114"/>
      <c r="AL40" s="114"/>
      <c r="AM40" s="114"/>
      <c r="AN40" s="114"/>
      <c r="AO40" s="114"/>
      <c r="AP40" s="114"/>
      <c r="AQ40" s="114"/>
      <c r="AR40" s="114"/>
      <c r="AS40" s="114"/>
      <c r="AT40" s="114"/>
      <c r="AU40" s="114"/>
    </row>
    <row r="41" spans="2:47" ht="12" customHeight="1" x14ac:dyDescent="0.3">
      <c r="B41" s="329" t="s">
        <v>850</v>
      </c>
      <c r="C41" s="329"/>
      <c r="D41" s="329"/>
      <c r="E41" s="335"/>
      <c r="F41" s="335"/>
      <c r="G41" s="335"/>
      <c r="I41" s="314"/>
      <c r="J41" s="314"/>
      <c r="K41" s="314"/>
      <c r="L41" s="314"/>
      <c r="M41" s="314"/>
      <c r="N41" s="314"/>
      <c r="P41" s="114"/>
      <c r="Q41" s="114"/>
      <c r="R41" s="114"/>
      <c r="S41" s="114"/>
      <c r="T41" s="114"/>
      <c r="U41" s="114"/>
      <c r="V41" s="114"/>
      <c r="W41" s="114"/>
      <c r="X41" s="114"/>
      <c r="Y41" s="114"/>
      <c r="Z41" s="114"/>
      <c r="AA41" s="114"/>
      <c r="AB41" s="114"/>
      <c r="AC41" s="114"/>
      <c r="AD41" s="114"/>
      <c r="AE41" s="114"/>
      <c r="AF41" s="114"/>
      <c r="AG41" s="114"/>
      <c r="AH41" s="114"/>
      <c r="AI41" s="114"/>
      <c r="AJ41" s="114"/>
      <c r="AK41" s="114"/>
      <c r="AL41" s="114"/>
      <c r="AM41" s="114"/>
      <c r="AN41" s="114"/>
      <c r="AO41" s="114"/>
      <c r="AP41" s="114"/>
      <c r="AQ41" s="114"/>
      <c r="AR41" s="114"/>
      <c r="AS41" s="114"/>
      <c r="AT41" s="114"/>
      <c r="AU41" s="114"/>
    </row>
    <row r="42" spans="2:47" ht="12" customHeight="1" x14ac:dyDescent="0.3">
      <c r="B42" s="329" t="s">
        <v>785</v>
      </c>
      <c r="C42" s="329"/>
      <c r="D42" s="329"/>
      <c r="E42" s="335">
        <f>OFERTA!L66</f>
        <v>0</v>
      </c>
      <c r="F42" s="335"/>
      <c r="G42" s="335"/>
      <c r="I42" s="314"/>
      <c r="J42" s="314"/>
      <c r="K42" s="314"/>
      <c r="L42" s="314"/>
      <c r="M42" s="314"/>
      <c r="N42" s="314"/>
      <c r="P42" s="114"/>
      <c r="Q42" s="114"/>
      <c r="R42" s="114"/>
      <c r="S42" s="114"/>
      <c r="T42" s="114"/>
      <c r="U42" s="114"/>
      <c r="V42" s="114"/>
      <c r="W42" s="114"/>
      <c r="X42" s="114"/>
      <c r="Y42" s="114"/>
      <c r="Z42" s="114"/>
      <c r="AA42" s="114"/>
      <c r="AB42" s="114"/>
      <c r="AC42" s="114"/>
      <c r="AD42" s="114"/>
      <c r="AE42" s="114"/>
      <c r="AF42" s="114"/>
      <c r="AG42" s="114"/>
      <c r="AH42" s="114"/>
      <c r="AI42" s="114"/>
      <c r="AJ42" s="114"/>
      <c r="AK42" s="114"/>
      <c r="AL42" s="114"/>
      <c r="AM42" s="114"/>
      <c r="AN42" s="114"/>
      <c r="AO42" s="114"/>
      <c r="AP42" s="114"/>
      <c r="AQ42" s="114"/>
      <c r="AR42" s="114"/>
      <c r="AS42" s="114"/>
      <c r="AT42" s="114"/>
      <c r="AU42" s="114"/>
    </row>
    <row r="43" spans="2:47" ht="12" customHeight="1" x14ac:dyDescent="0.3">
      <c r="B43" s="329" t="s">
        <v>851</v>
      </c>
      <c r="C43" s="329"/>
      <c r="D43" s="329"/>
      <c r="E43" s="335">
        <f>OFERTA!I66+OFERTA!J66+OFERTA!K66</f>
        <v>0</v>
      </c>
      <c r="F43" s="335"/>
      <c r="G43" s="335"/>
      <c r="I43" s="314"/>
      <c r="J43" s="314"/>
      <c r="K43" s="314"/>
      <c r="L43" s="314"/>
      <c r="M43" s="314"/>
      <c r="N43" s="314"/>
      <c r="P43" s="114"/>
      <c r="Q43" s="114"/>
      <c r="R43" s="114"/>
      <c r="S43" s="114"/>
      <c r="T43" s="114"/>
      <c r="U43" s="114"/>
      <c r="V43" s="114"/>
      <c r="W43" s="114"/>
      <c r="X43" s="114"/>
      <c r="Y43" s="114"/>
      <c r="Z43" s="114"/>
      <c r="AA43" s="114"/>
      <c r="AB43" s="114"/>
      <c r="AC43" s="114"/>
      <c r="AD43" s="114"/>
      <c r="AE43" s="114"/>
      <c r="AF43" s="114"/>
      <c r="AG43" s="114"/>
      <c r="AH43" s="114"/>
      <c r="AI43" s="114"/>
      <c r="AJ43" s="114"/>
      <c r="AK43" s="114"/>
      <c r="AL43" s="114"/>
      <c r="AM43" s="114"/>
      <c r="AN43" s="114"/>
      <c r="AO43" s="114"/>
      <c r="AP43" s="114"/>
      <c r="AQ43" s="114"/>
      <c r="AR43" s="114"/>
      <c r="AS43" s="114"/>
      <c r="AT43" s="114"/>
      <c r="AU43" s="114"/>
    </row>
    <row r="44" spans="2:47" ht="12" customHeight="1" x14ac:dyDescent="0.3">
      <c r="B44" s="329" t="s">
        <v>852</v>
      </c>
      <c r="C44" s="329"/>
      <c r="D44" s="329"/>
      <c r="E44" s="335"/>
      <c r="F44" s="335"/>
      <c r="G44" s="335"/>
      <c r="I44" s="314"/>
      <c r="J44" s="314"/>
      <c r="K44" s="314"/>
      <c r="L44" s="314"/>
      <c r="M44" s="314"/>
      <c r="N44" s="314"/>
      <c r="P44" s="114"/>
      <c r="Q44" s="114"/>
      <c r="R44" s="114"/>
      <c r="S44" s="114"/>
      <c r="T44" s="114"/>
      <c r="U44" s="114"/>
      <c r="V44" s="114"/>
      <c r="W44" s="114"/>
      <c r="X44" s="114"/>
      <c r="Y44" s="114"/>
      <c r="Z44" s="114"/>
      <c r="AA44" s="114"/>
      <c r="AB44" s="114"/>
      <c r="AC44" s="114"/>
      <c r="AD44" s="114"/>
      <c r="AE44" s="114"/>
      <c r="AF44" s="114"/>
      <c r="AG44" s="114"/>
      <c r="AH44" s="114"/>
      <c r="AI44" s="114"/>
      <c r="AJ44" s="114"/>
      <c r="AK44" s="114"/>
      <c r="AL44" s="114"/>
      <c r="AM44" s="114"/>
      <c r="AN44" s="114"/>
      <c r="AO44" s="114"/>
      <c r="AP44" s="114"/>
      <c r="AQ44" s="114"/>
      <c r="AR44" s="114"/>
      <c r="AS44" s="114"/>
      <c r="AT44" s="114"/>
      <c r="AU44" s="114"/>
    </row>
    <row r="45" spans="2:47" ht="12" customHeight="1" x14ac:dyDescent="0.3">
      <c r="B45" s="329" t="s">
        <v>780</v>
      </c>
      <c r="C45" s="329"/>
      <c r="D45" s="329"/>
      <c r="E45" s="335"/>
      <c r="F45" s="335"/>
      <c r="G45" s="335"/>
      <c r="I45" s="314"/>
      <c r="J45" s="314"/>
      <c r="K45" s="314"/>
      <c r="L45" s="314"/>
      <c r="M45" s="314"/>
      <c r="N45" s="314"/>
      <c r="P45" s="114"/>
      <c r="Q45" s="114"/>
      <c r="R45" s="114"/>
      <c r="S45" s="114"/>
      <c r="T45" s="114"/>
      <c r="U45" s="114"/>
      <c r="V45" s="114"/>
      <c r="W45" s="114"/>
      <c r="X45" s="114"/>
      <c r="Y45" s="114"/>
      <c r="Z45" s="114"/>
      <c r="AA45" s="114"/>
      <c r="AB45" s="114"/>
      <c r="AC45" s="114"/>
      <c r="AD45" s="114"/>
      <c r="AE45" s="114"/>
      <c r="AF45" s="114"/>
      <c r="AG45" s="114"/>
      <c r="AH45" s="114"/>
      <c r="AI45" s="114"/>
      <c r="AJ45" s="114"/>
      <c r="AK45" s="114"/>
      <c r="AL45" s="114"/>
      <c r="AM45" s="114"/>
      <c r="AN45" s="114"/>
      <c r="AO45" s="114"/>
      <c r="AP45" s="114"/>
      <c r="AQ45" s="114"/>
      <c r="AR45" s="114"/>
      <c r="AS45" s="114"/>
      <c r="AT45" s="114"/>
      <c r="AU45" s="114"/>
    </row>
    <row r="46" spans="2:47" ht="12" customHeight="1" x14ac:dyDescent="0.3">
      <c r="B46" s="329" t="s">
        <v>780</v>
      </c>
      <c r="C46" s="329"/>
      <c r="D46" s="329"/>
      <c r="E46" s="335"/>
      <c r="F46" s="335"/>
      <c r="G46" s="335"/>
      <c r="I46" s="314"/>
      <c r="J46" s="314"/>
      <c r="K46" s="314"/>
      <c r="L46" s="314"/>
      <c r="M46" s="314"/>
      <c r="N46" s="314"/>
      <c r="P46" s="114"/>
      <c r="Q46" s="114"/>
      <c r="R46" s="114"/>
      <c r="S46" s="114"/>
      <c r="T46" s="114"/>
      <c r="U46" s="114"/>
      <c r="V46" s="114"/>
      <c r="W46" s="114"/>
      <c r="X46" s="114"/>
      <c r="Y46" s="114"/>
      <c r="Z46" s="114"/>
      <c r="AA46" s="114"/>
      <c r="AB46" s="114"/>
      <c r="AC46" s="114"/>
      <c r="AD46" s="114"/>
      <c r="AE46" s="114"/>
      <c r="AF46" s="114"/>
      <c r="AG46" s="114"/>
      <c r="AH46" s="114"/>
      <c r="AI46" s="114"/>
      <c r="AJ46" s="114"/>
      <c r="AK46" s="114"/>
      <c r="AL46" s="114"/>
      <c r="AM46" s="114"/>
      <c r="AN46" s="114"/>
      <c r="AO46" s="114"/>
      <c r="AP46" s="114"/>
      <c r="AQ46" s="114"/>
      <c r="AR46" s="114"/>
      <c r="AS46" s="114"/>
      <c r="AT46" s="114"/>
      <c r="AU46" s="114"/>
    </row>
    <row r="47" spans="2:47" ht="12" customHeight="1" x14ac:dyDescent="0.3">
      <c r="B47" s="310" t="s">
        <v>848</v>
      </c>
      <c r="C47" s="310"/>
      <c r="D47" s="310"/>
      <c r="E47" s="333">
        <f>SUM(E39:G46)</f>
        <v>0</v>
      </c>
      <c r="F47" s="334"/>
      <c r="G47" s="334"/>
      <c r="I47" s="314"/>
      <c r="J47" s="314"/>
      <c r="K47" s="314"/>
      <c r="L47" s="314"/>
      <c r="M47" s="314"/>
      <c r="N47" s="314"/>
      <c r="P47" s="114"/>
      <c r="Q47" s="114"/>
      <c r="R47" s="114"/>
      <c r="S47" s="114"/>
      <c r="T47" s="114"/>
      <c r="U47" s="114"/>
      <c r="V47" s="114"/>
      <c r="W47" s="114"/>
      <c r="X47" s="114"/>
      <c r="Y47" s="114"/>
      <c r="Z47" s="114"/>
      <c r="AA47" s="114"/>
      <c r="AB47" s="114"/>
      <c r="AC47" s="114"/>
      <c r="AD47" s="114"/>
      <c r="AE47" s="114"/>
      <c r="AF47" s="114"/>
      <c r="AG47" s="114"/>
      <c r="AH47" s="114"/>
      <c r="AI47" s="114"/>
      <c r="AJ47" s="114"/>
      <c r="AK47" s="114"/>
      <c r="AL47" s="114"/>
      <c r="AM47" s="114"/>
      <c r="AN47" s="114"/>
      <c r="AO47" s="114"/>
      <c r="AP47" s="114"/>
      <c r="AQ47" s="114"/>
      <c r="AR47" s="114"/>
      <c r="AS47" s="114"/>
      <c r="AT47" s="114"/>
      <c r="AU47" s="114"/>
    </row>
    <row r="48" spans="2:47" ht="5.0999999999999996" customHeight="1" x14ac:dyDescent="0.3">
      <c r="P48" s="114"/>
      <c r="Q48" s="114"/>
      <c r="R48" s="114"/>
      <c r="S48" s="114"/>
      <c r="T48" s="114"/>
      <c r="U48" s="114"/>
      <c r="V48" s="114"/>
      <c r="W48" s="114"/>
      <c r="X48" s="114"/>
      <c r="Y48" s="114"/>
      <c r="Z48" s="114"/>
      <c r="AA48" s="114"/>
      <c r="AB48" s="114"/>
      <c r="AC48" s="114"/>
      <c r="AD48" s="114"/>
      <c r="AE48" s="114"/>
      <c r="AF48" s="114"/>
      <c r="AG48" s="114"/>
      <c r="AH48" s="114"/>
      <c r="AI48" s="114"/>
      <c r="AJ48" s="114"/>
      <c r="AK48" s="114"/>
      <c r="AL48" s="114"/>
      <c r="AM48" s="114"/>
      <c r="AN48" s="114"/>
      <c r="AO48" s="114"/>
      <c r="AP48" s="114"/>
      <c r="AQ48" s="114"/>
      <c r="AR48" s="114"/>
      <c r="AS48" s="114"/>
      <c r="AT48" s="114"/>
      <c r="AU48" s="114"/>
    </row>
    <row r="49" spans="2:47" ht="15" customHeight="1" x14ac:dyDescent="0.3">
      <c r="B49" s="343" t="s">
        <v>811</v>
      </c>
      <c r="C49" s="343"/>
      <c r="D49" s="343"/>
      <c r="E49" s="343"/>
      <c r="F49" s="343"/>
      <c r="G49" s="343"/>
      <c r="H49" s="2"/>
      <c r="I49" s="332" t="s">
        <v>782</v>
      </c>
      <c r="J49" s="332"/>
      <c r="K49" s="332"/>
      <c r="L49" s="332"/>
      <c r="M49" s="332"/>
      <c r="N49" s="332"/>
      <c r="P49" s="114"/>
      <c r="Q49" s="114"/>
      <c r="R49" s="114"/>
      <c r="S49" s="114"/>
      <c r="T49" s="114"/>
      <c r="U49" s="114"/>
      <c r="V49" s="114"/>
      <c r="W49" s="114"/>
      <c r="X49" s="114"/>
      <c r="Y49" s="114"/>
      <c r="Z49" s="114"/>
      <c r="AA49" s="114"/>
      <c r="AB49" s="114"/>
      <c r="AC49" s="114"/>
      <c r="AD49" s="114"/>
      <c r="AE49" s="114"/>
      <c r="AF49" s="114"/>
      <c r="AG49" s="114"/>
      <c r="AH49" s="114"/>
      <c r="AI49" s="114"/>
      <c r="AJ49" s="114"/>
      <c r="AK49" s="114"/>
      <c r="AL49" s="114"/>
      <c r="AM49" s="114"/>
      <c r="AN49" s="114"/>
      <c r="AO49" s="114"/>
      <c r="AP49" s="114"/>
      <c r="AQ49" s="114"/>
      <c r="AR49" s="114"/>
      <c r="AS49" s="114"/>
      <c r="AT49" s="114"/>
      <c r="AU49" s="114"/>
    </row>
    <row r="50" spans="2:47" ht="12" customHeight="1" x14ac:dyDescent="0.3">
      <c r="B50" s="344" t="s">
        <v>812</v>
      </c>
      <c r="C50" s="344"/>
      <c r="D50" s="344"/>
      <c r="E50" s="345"/>
      <c r="F50" s="345"/>
      <c r="G50" s="345"/>
      <c r="H50" s="69"/>
      <c r="I50" s="314"/>
      <c r="J50" s="314"/>
      <c r="K50" s="314"/>
      <c r="L50" s="314"/>
      <c r="M50" s="314"/>
      <c r="N50" s="314"/>
      <c r="P50" s="114"/>
      <c r="Q50" s="114"/>
      <c r="R50" s="114"/>
      <c r="S50" s="114"/>
      <c r="T50" s="114"/>
      <c r="U50" s="114"/>
      <c r="V50" s="114"/>
      <c r="W50" s="114"/>
      <c r="X50" s="114"/>
      <c r="Y50" s="114"/>
      <c r="Z50" s="114"/>
      <c r="AA50" s="114"/>
      <c r="AB50" s="114"/>
      <c r="AC50" s="114"/>
      <c r="AD50" s="114"/>
      <c r="AE50" s="114"/>
      <c r="AF50" s="114"/>
      <c r="AG50" s="114"/>
      <c r="AH50" s="114"/>
      <c r="AI50" s="114"/>
      <c r="AJ50" s="114"/>
      <c r="AK50" s="114"/>
      <c r="AL50" s="114"/>
      <c r="AM50" s="114"/>
      <c r="AN50" s="114"/>
      <c r="AO50" s="114"/>
      <c r="AP50" s="114"/>
      <c r="AQ50" s="114"/>
      <c r="AR50" s="114"/>
      <c r="AS50" s="114"/>
      <c r="AT50" s="114"/>
      <c r="AU50" s="114"/>
    </row>
    <row r="51" spans="2:47" ht="12" customHeight="1" x14ac:dyDescent="0.3">
      <c r="B51" s="344" t="s">
        <v>780</v>
      </c>
      <c r="C51" s="344"/>
      <c r="D51" s="344"/>
      <c r="E51" s="345"/>
      <c r="F51" s="345"/>
      <c r="G51" s="345"/>
      <c r="H51" s="69"/>
      <c r="I51" s="314"/>
      <c r="J51" s="314"/>
      <c r="K51" s="314"/>
      <c r="L51" s="314"/>
      <c r="M51" s="314"/>
      <c r="N51" s="314"/>
      <c r="P51" s="114"/>
      <c r="Q51" s="114"/>
      <c r="R51" s="114"/>
      <c r="S51" s="114"/>
      <c r="T51" s="114"/>
      <c r="U51" s="114"/>
      <c r="V51" s="114"/>
      <c r="W51" s="114"/>
      <c r="X51" s="114"/>
      <c r="Y51" s="114"/>
      <c r="Z51" s="114"/>
      <c r="AA51" s="114"/>
      <c r="AB51" s="114"/>
      <c r="AC51" s="114"/>
      <c r="AD51" s="114"/>
      <c r="AE51" s="114"/>
      <c r="AF51" s="114"/>
      <c r="AG51" s="114"/>
      <c r="AH51" s="114"/>
      <c r="AI51" s="114"/>
      <c r="AJ51" s="114"/>
      <c r="AK51" s="114"/>
      <c r="AL51" s="114"/>
      <c r="AM51" s="114"/>
      <c r="AN51" s="114"/>
      <c r="AO51" s="114"/>
      <c r="AP51" s="114"/>
      <c r="AQ51" s="114"/>
      <c r="AR51" s="114"/>
      <c r="AS51" s="114"/>
      <c r="AT51" s="114"/>
      <c r="AU51" s="114"/>
    </row>
    <row r="52" spans="2:47" ht="12" customHeight="1" x14ac:dyDescent="0.3">
      <c r="B52" s="343" t="s">
        <v>781</v>
      </c>
      <c r="C52" s="343"/>
      <c r="D52" s="343"/>
      <c r="E52" s="345">
        <f>SUM(E50:G51)</f>
        <v>0</v>
      </c>
      <c r="F52" s="364"/>
      <c r="G52" s="364"/>
      <c r="I52" s="365"/>
      <c r="J52" s="365"/>
      <c r="K52" s="365"/>
      <c r="L52" s="365"/>
      <c r="M52" s="365"/>
      <c r="N52" s="365"/>
      <c r="P52" s="114"/>
      <c r="Q52" s="114"/>
      <c r="R52" s="114"/>
      <c r="S52" s="114"/>
      <c r="T52" s="114"/>
      <c r="U52" s="114"/>
      <c r="V52" s="114"/>
      <c r="W52" s="114"/>
      <c r="X52" s="114"/>
      <c r="Y52" s="114"/>
      <c r="Z52" s="114"/>
      <c r="AA52" s="114"/>
      <c r="AB52" s="114"/>
      <c r="AC52" s="114"/>
      <c r="AD52" s="114"/>
      <c r="AE52" s="114"/>
      <c r="AF52" s="114"/>
      <c r="AG52" s="114"/>
      <c r="AH52" s="114"/>
      <c r="AI52" s="114"/>
      <c r="AJ52" s="114"/>
      <c r="AK52" s="114"/>
      <c r="AL52" s="114"/>
      <c r="AM52" s="114"/>
      <c r="AN52" s="114"/>
      <c r="AO52" s="114"/>
      <c r="AP52" s="114"/>
      <c r="AQ52" s="114"/>
      <c r="AR52" s="114"/>
      <c r="AS52" s="114"/>
      <c r="AT52" s="114"/>
      <c r="AU52" s="114"/>
    </row>
    <row r="53" spans="2:47" x14ac:dyDescent="0.3">
      <c r="B53" s="332" t="s">
        <v>786</v>
      </c>
      <c r="C53" s="332"/>
      <c r="D53" s="332"/>
      <c r="E53" s="332"/>
      <c r="F53" s="332"/>
      <c r="G53" s="332"/>
      <c r="P53" s="114"/>
      <c r="Q53" s="114"/>
      <c r="R53" s="114"/>
      <c r="S53" s="114"/>
      <c r="T53" s="114"/>
      <c r="U53" s="114"/>
      <c r="V53" s="114"/>
      <c r="W53" s="114"/>
      <c r="X53" s="114"/>
      <c r="Y53" s="114"/>
      <c r="Z53" s="114"/>
      <c r="AA53" s="114"/>
      <c r="AB53" s="114"/>
      <c r="AC53" s="114"/>
      <c r="AD53" s="114"/>
      <c r="AE53" s="114"/>
      <c r="AF53" s="114"/>
      <c r="AG53" s="114"/>
      <c r="AH53" s="114"/>
      <c r="AI53" s="114"/>
      <c r="AJ53" s="114"/>
      <c r="AK53" s="114"/>
      <c r="AL53" s="114"/>
      <c r="AM53" s="114"/>
      <c r="AN53" s="114"/>
      <c r="AO53" s="114"/>
      <c r="AP53" s="114"/>
      <c r="AQ53" s="114"/>
      <c r="AR53" s="114"/>
      <c r="AS53" s="114"/>
      <c r="AT53" s="114"/>
      <c r="AU53" s="114"/>
    </row>
    <row r="54" spans="2:47" x14ac:dyDescent="0.3">
      <c r="E54" s="70" t="s">
        <v>787</v>
      </c>
      <c r="F54" s="336" t="s">
        <v>788</v>
      </c>
      <c r="G54" s="336"/>
      <c r="P54" s="114"/>
      <c r="Q54" s="114"/>
      <c r="R54" s="114"/>
      <c r="S54" s="114"/>
      <c r="T54" s="114"/>
      <c r="U54" s="114"/>
      <c r="V54" s="114"/>
      <c r="W54" s="114"/>
      <c r="X54" s="114"/>
      <c r="Y54" s="114"/>
      <c r="Z54" s="114"/>
      <c r="AA54" s="114"/>
      <c r="AB54" s="114"/>
      <c r="AC54" s="114"/>
      <c r="AD54" s="114"/>
      <c r="AE54" s="114"/>
      <c r="AF54" s="114"/>
      <c r="AG54" s="114"/>
      <c r="AH54" s="114"/>
      <c r="AI54" s="114"/>
      <c r="AJ54" s="114"/>
      <c r="AK54" s="114"/>
      <c r="AL54" s="114"/>
      <c r="AM54" s="114"/>
      <c r="AN54" s="114"/>
      <c r="AO54" s="114"/>
      <c r="AP54" s="114"/>
      <c r="AQ54" s="114"/>
      <c r="AR54" s="114"/>
      <c r="AS54" s="114"/>
      <c r="AT54" s="114"/>
      <c r="AU54" s="114"/>
    </row>
    <row r="55" spans="2:47" ht="12" customHeight="1" x14ac:dyDescent="0.3">
      <c r="B55" s="329" t="s">
        <v>853</v>
      </c>
      <c r="C55" s="329"/>
      <c r="D55" s="329"/>
      <c r="E55" s="113"/>
      <c r="F55" s="330"/>
      <c r="G55" s="330"/>
      <c r="I55" s="314"/>
      <c r="J55" s="314"/>
      <c r="K55" s="314"/>
      <c r="L55" s="314"/>
      <c r="M55" s="314"/>
      <c r="N55" s="314"/>
      <c r="P55" s="114"/>
      <c r="Q55" s="114"/>
      <c r="R55" s="114"/>
      <c r="S55" s="114"/>
      <c r="T55" s="114"/>
      <c r="U55" s="114"/>
      <c r="V55" s="114"/>
      <c r="W55" s="114"/>
      <c r="X55" s="114"/>
      <c r="Y55" s="114"/>
      <c r="Z55" s="114"/>
      <c r="AA55" s="114"/>
      <c r="AB55" s="114"/>
      <c r="AC55" s="114"/>
      <c r="AD55" s="114"/>
      <c r="AE55" s="114"/>
      <c r="AF55" s="114"/>
      <c r="AG55" s="114"/>
      <c r="AH55" s="114"/>
      <c r="AI55" s="114"/>
      <c r="AJ55" s="114"/>
      <c r="AK55" s="114"/>
      <c r="AL55" s="114"/>
      <c r="AM55" s="114"/>
      <c r="AN55" s="114"/>
      <c r="AO55" s="114"/>
      <c r="AP55" s="114"/>
      <c r="AQ55" s="114"/>
      <c r="AR55" s="114"/>
      <c r="AS55" s="114"/>
      <c r="AT55" s="114"/>
      <c r="AU55" s="114"/>
    </row>
    <row r="56" spans="2:47" ht="12" customHeight="1" x14ac:dyDescent="0.3">
      <c r="B56" s="329" t="s">
        <v>854</v>
      </c>
      <c r="C56" s="329"/>
      <c r="D56" s="329"/>
      <c r="E56" s="113">
        <f>OFERTA!I61</f>
        <v>0</v>
      </c>
      <c r="F56" s="330">
        <v>61.64</v>
      </c>
      <c r="G56" s="330"/>
      <c r="I56" s="314" t="s">
        <v>856</v>
      </c>
      <c r="J56" s="314"/>
      <c r="K56" s="314"/>
      <c r="L56" s="314"/>
      <c r="M56" s="314"/>
      <c r="N56" s="314"/>
      <c r="P56" s="114"/>
      <c r="Q56" s="114"/>
      <c r="R56" s="114"/>
      <c r="S56" s="114"/>
      <c r="T56" s="114"/>
      <c r="U56" s="114"/>
      <c r="V56" s="114"/>
      <c r="W56" s="114"/>
      <c r="X56" s="114"/>
      <c r="Y56" s="114"/>
      <c r="Z56" s="114"/>
      <c r="AA56" s="114"/>
      <c r="AB56" s="114"/>
      <c r="AC56" s="114"/>
      <c r="AD56" s="114"/>
      <c r="AE56" s="114"/>
      <c r="AF56" s="114"/>
      <c r="AG56" s="114"/>
      <c r="AH56" s="114"/>
      <c r="AI56" s="114"/>
      <c r="AJ56" s="114"/>
      <c r="AK56" s="114"/>
      <c r="AL56" s="114"/>
      <c r="AM56" s="114"/>
      <c r="AN56" s="114"/>
      <c r="AO56" s="114"/>
      <c r="AP56" s="114"/>
      <c r="AQ56" s="114"/>
      <c r="AR56" s="114"/>
      <c r="AS56" s="114"/>
      <c r="AT56" s="114"/>
      <c r="AU56" s="114"/>
    </row>
    <row r="57" spans="2:47" ht="12" customHeight="1" x14ac:dyDescent="0.3">
      <c r="B57" s="329" t="s">
        <v>855</v>
      </c>
      <c r="C57" s="329"/>
      <c r="D57" s="329"/>
      <c r="E57" s="113">
        <f>OFERTA!I62</f>
        <v>5</v>
      </c>
      <c r="F57" s="330">
        <v>61.64</v>
      </c>
      <c r="G57" s="330"/>
      <c r="I57" s="314" t="s">
        <v>857</v>
      </c>
      <c r="J57" s="314"/>
      <c r="K57" s="314"/>
      <c r="L57" s="314"/>
      <c r="M57" s="314"/>
      <c r="N57" s="3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Z57" s="114"/>
      <c r="AA57" s="114"/>
      <c r="AB57" s="114"/>
      <c r="AC57" s="114"/>
      <c r="AD57" s="114"/>
      <c r="AE57" s="114"/>
      <c r="AF57" s="114"/>
      <c r="AG57" s="114"/>
      <c r="AH57" s="114"/>
      <c r="AI57" s="114"/>
      <c r="AJ57" s="114"/>
      <c r="AK57" s="114"/>
      <c r="AL57" s="114"/>
      <c r="AM57" s="114"/>
      <c r="AN57" s="114"/>
      <c r="AO57" s="114"/>
      <c r="AP57" s="114"/>
      <c r="AQ57" s="114"/>
      <c r="AR57" s="114"/>
      <c r="AS57" s="114"/>
      <c r="AT57" s="114"/>
      <c r="AU57" s="114"/>
    </row>
    <row r="58" spans="2:47" ht="12" customHeight="1" x14ac:dyDescent="0.3">
      <c r="B58" s="329" t="s">
        <v>780</v>
      </c>
      <c r="C58" s="329"/>
      <c r="D58" s="329"/>
      <c r="E58" s="113"/>
      <c r="F58" s="330"/>
      <c r="G58" s="330"/>
      <c r="I58" s="314"/>
      <c r="J58" s="314"/>
      <c r="K58" s="314"/>
      <c r="L58" s="314"/>
      <c r="M58" s="314"/>
      <c r="N58" s="314"/>
      <c r="P58" s="114"/>
      <c r="Q58" s="114"/>
      <c r="R58" s="114"/>
      <c r="S58" s="114"/>
      <c r="T58" s="114"/>
      <c r="U58" s="114"/>
      <c r="V58" s="114"/>
      <c r="W58" s="114"/>
      <c r="X58" s="114"/>
      <c r="Y58" s="114"/>
      <c r="Z58" s="114"/>
      <c r="AA58" s="114"/>
      <c r="AB58" s="114"/>
      <c r="AC58" s="114"/>
      <c r="AD58" s="114"/>
      <c r="AE58" s="114"/>
      <c r="AF58" s="114"/>
      <c r="AG58" s="114"/>
      <c r="AH58" s="114"/>
      <c r="AI58" s="114"/>
      <c r="AJ58" s="114"/>
      <c r="AK58" s="114"/>
      <c r="AL58" s="114"/>
      <c r="AM58" s="114"/>
      <c r="AN58" s="114"/>
      <c r="AO58" s="114"/>
      <c r="AP58" s="114"/>
      <c r="AQ58" s="114"/>
      <c r="AR58" s="114"/>
      <c r="AS58" s="114"/>
      <c r="AT58" s="114"/>
      <c r="AU58" s="114"/>
    </row>
    <row r="59" spans="2:47" ht="12" customHeight="1" x14ac:dyDescent="0.3">
      <c r="B59" s="329" t="s">
        <v>780</v>
      </c>
      <c r="C59" s="329"/>
      <c r="D59" s="329"/>
      <c r="E59" s="113"/>
      <c r="F59" s="330"/>
      <c r="G59" s="330"/>
      <c r="I59" s="314"/>
      <c r="J59" s="314"/>
      <c r="K59" s="314"/>
      <c r="L59" s="314"/>
      <c r="M59" s="314"/>
      <c r="N59" s="314"/>
      <c r="P59" s="114"/>
      <c r="Q59" s="114"/>
      <c r="R59" s="114"/>
      <c r="S59" s="114"/>
      <c r="T59" s="114"/>
      <c r="U59" s="114"/>
      <c r="V59" s="114"/>
      <c r="W59" s="114"/>
      <c r="X59" s="114"/>
      <c r="Y59" s="114"/>
      <c r="Z59" s="114"/>
      <c r="AA59" s="114"/>
      <c r="AB59" s="114"/>
      <c r="AC59" s="114"/>
      <c r="AD59" s="114"/>
      <c r="AE59" s="114"/>
      <c r="AF59" s="114"/>
      <c r="AG59" s="114"/>
      <c r="AH59" s="114"/>
      <c r="AI59" s="114"/>
      <c r="AJ59" s="114"/>
      <c r="AK59" s="114"/>
      <c r="AL59" s="114"/>
      <c r="AM59" s="114"/>
      <c r="AN59" s="114"/>
      <c r="AO59" s="114"/>
      <c r="AP59" s="114"/>
      <c r="AQ59" s="114"/>
      <c r="AR59" s="114"/>
      <c r="AS59" s="114"/>
      <c r="AT59" s="114"/>
      <c r="AU59" s="114"/>
    </row>
    <row r="60" spans="2:47" ht="12" customHeight="1" x14ac:dyDescent="0.3">
      <c r="B60" s="329" t="s">
        <v>780</v>
      </c>
      <c r="C60" s="329"/>
      <c r="D60" s="329"/>
      <c r="E60" s="113"/>
      <c r="F60" s="330"/>
      <c r="G60" s="330"/>
      <c r="I60" s="314"/>
      <c r="J60" s="314"/>
      <c r="K60" s="314"/>
      <c r="L60" s="314"/>
      <c r="M60" s="314"/>
      <c r="N60" s="314"/>
      <c r="P60" s="114"/>
      <c r="Q60" s="114"/>
      <c r="R60" s="114"/>
      <c r="S60" s="114"/>
      <c r="T60" s="114"/>
      <c r="U60" s="114"/>
      <c r="V60" s="114"/>
      <c r="W60" s="114"/>
      <c r="X60" s="114"/>
      <c r="Y60" s="114"/>
      <c r="Z60" s="114"/>
      <c r="AA60" s="114"/>
      <c r="AB60" s="114"/>
      <c r="AC60" s="114"/>
      <c r="AD60" s="114"/>
      <c r="AE60" s="114"/>
      <c r="AF60" s="114"/>
      <c r="AG60" s="114"/>
      <c r="AH60" s="114"/>
      <c r="AI60" s="114"/>
      <c r="AJ60" s="114"/>
      <c r="AK60" s="114"/>
      <c r="AL60" s="114"/>
      <c r="AM60" s="114"/>
      <c r="AN60" s="114"/>
      <c r="AO60" s="114"/>
      <c r="AP60" s="114"/>
      <c r="AQ60" s="114"/>
      <c r="AR60" s="114"/>
      <c r="AS60" s="114"/>
      <c r="AT60" s="114"/>
      <c r="AU60" s="114"/>
    </row>
    <row r="61" spans="2:47" ht="12" customHeight="1" x14ac:dyDescent="0.3">
      <c r="B61" s="329" t="s">
        <v>780</v>
      </c>
      <c r="C61" s="329"/>
      <c r="D61" s="329"/>
      <c r="E61" s="113"/>
      <c r="F61" s="330"/>
      <c r="G61" s="330"/>
      <c r="I61" s="314"/>
      <c r="J61" s="314"/>
      <c r="K61" s="314"/>
      <c r="L61" s="314"/>
      <c r="M61" s="314"/>
      <c r="N61" s="314"/>
      <c r="P61" s="114"/>
      <c r="Q61" s="114"/>
      <c r="R61" s="114"/>
      <c r="S61" s="114"/>
      <c r="T61" s="114"/>
      <c r="U61" s="114"/>
      <c r="V61" s="114"/>
      <c r="W61" s="114"/>
      <c r="X61" s="114"/>
      <c r="Y61" s="114"/>
      <c r="Z61" s="114"/>
      <c r="AA61" s="114"/>
      <c r="AB61" s="114"/>
      <c r="AC61" s="114"/>
      <c r="AD61" s="114"/>
      <c r="AE61" s="114"/>
      <c r="AF61" s="114"/>
      <c r="AG61" s="114"/>
      <c r="AH61" s="114"/>
      <c r="AI61" s="114"/>
      <c r="AJ61" s="114"/>
      <c r="AK61" s="114"/>
      <c r="AL61" s="114"/>
      <c r="AM61" s="114"/>
      <c r="AN61" s="114"/>
      <c r="AO61" s="114"/>
      <c r="AP61" s="114"/>
      <c r="AQ61" s="114"/>
      <c r="AR61" s="114"/>
      <c r="AS61" s="114"/>
      <c r="AT61" s="114"/>
      <c r="AU61" s="114"/>
    </row>
    <row r="62" spans="2:47" ht="12" customHeight="1" x14ac:dyDescent="0.3">
      <c r="B62" s="329" t="s">
        <v>780</v>
      </c>
      <c r="C62" s="329"/>
      <c r="D62" s="329"/>
      <c r="E62" s="113"/>
      <c r="F62" s="330"/>
      <c r="G62" s="330"/>
      <c r="I62" s="314"/>
      <c r="J62" s="314"/>
      <c r="K62" s="314"/>
      <c r="L62" s="314"/>
      <c r="M62" s="314"/>
      <c r="N62" s="314"/>
      <c r="P62" s="114"/>
      <c r="Q62" s="114"/>
      <c r="R62" s="114"/>
      <c r="S62" s="114"/>
      <c r="T62" s="114"/>
      <c r="U62" s="114"/>
      <c r="V62" s="114"/>
      <c r="W62" s="114"/>
      <c r="X62" s="114"/>
      <c r="Y62" s="114"/>
      <c r="Z62" s="114"/>
      <c r="AA62" s="114"/>
      <c r="AB62" s="114"/>
      <c r="AC62" s="114"/>
      <c r="AD62" s="114"/>
      <c r="AE62" s="114"/>
      <c r="AF62" s="114"/>
      <c r="AG62" s="114"/>
      <c r="AH62" s="114"/>
      <c r="AI62" s="114"/>
      <c r="AJ62" s="114"/>
      <c r="AK62" s="114"/>
      <c r="AL62" s="114"/>
      <c r="AM62" s="114"/>
      <c r="AN62" s="114"/>
      <c r="AO62" s="114"/>
      <c r="AP62" s="114"/>
      <c r="AQ62" s="114"/>
      <c r="AR62" s="114"/>
      <c r="AS62" s="114"/>
      <c r="AT62" s="114"/>
      <c r="AU62" s="114"/>
    </row>
    <row r="63" spans="2:47" ht="12" customHeight="1" x14ac:dyDescent="0.3">
      <c r="B63" s="329" t="s">
        <v>780</v>
      </c>
      <c r="C63" s="329"/>
      <c r="D63" s="329"/>
      <c r="E63" s="113"/>
      <c r="F63" s="330"/>
      <c r="G63" s="330"/>
      <c r="I63" s="314"/>
      <c r="J63" s="314"/>
      <c r="K63" s="314"/>
      <c r="L63" s="314"/>
      <c r="M63" s="314"/>
      <c r="N63" s="314"/>
      <c r="P63" s="114"/>
      <c r="Q63" s="114"/>
      <c r="R63" s="114"/>
      <c r="S63" s="114"/>
      <c r="T63" s="114"/>
      <c r="U63" s="114"/>
      <c r="V63" s="114"/>
      <c r="W63" s="114"/>
      <c r="X63" s="114"/>
      <c r="Y63" s="114"/>
      <c r="Z63" s="114"/>
      <c r="AA63" s="114"/>
      <c r="AB63" s="114"/>
      <c r="AC63" s="114"/>
      <c r="AD63" s="114"/>
      <c r="AE63" s="114"/>
      <c r="AF63" s="114"/>
      <c r="AG63" s="114"/>
      <c r="AH63" s="114"/>
      <c r="AI63" s="114"/>
      <c r="AJ63" s="114"/>
      <c r="AK63" s="114"/>
      <c r="AL63" s="114"/>
      <c r="AM63" s="114"/>
      <c r="AN63" s="114"/>
      <c r="AO63" s="114"/>
      <c r="AP63" s="114"/>
      <c r="AQ63" s="114"/>
      <c r="AR63" s="114"/>
      <c r="AS63" s="114"/>
      <c r="AT63" s="114"/>
      <c r="AU63" s="114"/>
    </row>
    <row r="64" spans="2:47" ht="12" customHeight="1" x14ac:dyDescent="0.3">
      <c r="B64" s="329" t="s">
        <v>780</v>
      </c>
      <c r="C64" s="329"/>
      <c r="D64" s="329"/>
      <c r="E64" s="113"/>
      <c r="F64" s="330"/>
      <c r="G64" s="330"/>
      <c r="I64" s="314"/>
      <c r="J64" s="314"/>
      <c r="K64" s="314"/>
      <c r="L64" s="314"/>
      <c r="M64" s="314"/>
      <c r="N64" s="314"/>
      <c r="P64" s="114"/>
      <c r="Q64" s="114"/>
      <c r="R64" s="114"/>
      <c r="S64" s="114"/>
      <c r="T64" s="114"/>
      <c r="U64" s="114"/>
      <c r="V64" s="114"/>
      <c r="W64" s="114"/>
      <c r="X64" s="114"/>
      <c r="Y64" s="114"/>
      <c r="Z64" s="114"/>
      <c r="AA64" s="114"/>
      <c r="AB64" s="114"/>
      <c r="AC64" s="114"/>
      <c r="AD64" s="114"/>
      <c r="AE64" s="114"/>
      <c r="AF64" s="114"/>
      <c r="AG64" s="114"/>
      <c r="AH64" s="114"/>
      <c r="AI64" s="114"/>
      <c r="AJ64" s="114"/>
      <c r="AK64" s="114"/>
      <c r="AL64" s="114"/>
      <c r="AM64" s="114"/>
      <c r="AN64" s="114"/>
      <c r="AO64" s="114"/>
      <c r="AP64" s="114"/>
      <c r="AQ64" s="114"/>
      <c r="AR64" s="114"/>
      <c r="AS64" s="114"/>
      <c r="AT64" s="114"/>
      <c r="AU64" s="114"/>
    </row>
    <row r="65" spans="1:51" x14ac:dyDescent="0.3">
      <c r="B65" s="310" t="s">
        <v>848</v>
      </c>
      <c r="C65" s="310"/>
      <c r="D65" s="310"/>
      <c r="E65" s="71">
        <f>SUM(E55:E64)</f>
        <v>5</v>
      </c>
      <c r="F65" s="311">
        <f>+E55*F55+E56*F56+E57*F57+E58*F58+E59*F59+E60*F60+E61*F61+E62*F62+E63*F63+E64*F64</f>
        <v>308.2</v>
      </c>
      <c r="G65" s="312"/>
      <c r="I65" s="313"/>
      <c r="J65" s="314"/>
      <c r="K65" s="314"/>
      <c r="L65" s="314"/>
      <c r="M65" s="314"/>
      <c r="N65" s="314"/>
      <c r="P65" s="114"/>
      <c r="Q65" s="114"/>
      <c r="R65" s="114"/>
      <c r="S65" s="114"/>
      <c r="T65" s="114"/>
      <c r="U65" s="114"/>
      <c r="V65" s="114"/>
      <c r="W65" s="114"/>
      <c r="X65" s="114"/>
      <c r="Y65" s="114"/>
      <c r="Z65" s="114"/>
      <c r="AA65" s="114"/>
      <c r="AB65" s="114"/>
      <c r="AC65" s="114"/>
      <c r="AD65" s="114"/>
      <c r="AE65" s="114"/>
      <c r="AF65" s="114"/>
      <c r="AG65" s="114"/>
      <c r="AH65" s="114"/>
      <c r="AI65" s="114"/>
      <c r="AJ65" s="114"/>
      <c r="AK65" s="114"/>
      <c r="AL65" s="114"/>
      <c r="AM65" s="114"/>
      <c r="AN65" s="114"/>
      <c r="AO65" s="114"/>
      <c r="AP65" s="114"/>
      <c r="AQ65" s="114"/>
      <c r="AR65" s="114"/>
      <c r="AS65" s="114"/>
      <c r="AT65" s="114"/>
      <c r="AU65" s="114"/>
    </row>
    <row r="66" spans="1:51" x14ac:dyDescent="0.3">
      <c r="A66" s="114"/>
      <c r="B66" s="114"/>
      <c r="C66" s="114"/>
      <c r="D66" s="114"/>
      <c r="E66" s="114"/>
      <c r="F66" s="114"/>
      <c r="G66" s="114"/>
      <c r="H66" s="114"/>
      <c r="I66" s="114"/>
      <c r="J66" s="114"/>
      <c r="K66" s="114"/>
      <c r="L66" s="114"/>
      <c r="M66" s="114"/>
      <c r="N66" s="114"/>
      <c r="O66" s="114"/>
      <c r="P66" s="114"/>
      <c r="Q66" s="114"/>
      <c r="R66" s="114"/>
      <c r="S66" s="114"/>
      <c r="T66" s="114"/>
      <c r="U66" s="114"/>
      <c r="V66" s="114"/>
      <c r="W66" s="114"/>
      <c r="X66" s="114"/>
      <c r="Y66" s="114"/>
      <c r="Z66" s="114"/>
      <c r="AA66" s="114"/>
      <c r="AB66" s="114"/>
      <c r="AC66" s="114"/>
      <c r="AD66" s="114"/>
      <c r="AE66" s="114"/>
      <c r="AF66" s="114"/>
      <c r="AG66" s="114"/>
      <c r="AH66" s="114"/>
      <c r="AI66" s="114"/>
      <c r="AJ66" s="114"/>
      <c r="AK66" s="114"/>
      <c r="AL66" s="114"/>
      <c r="AM66" s="114"/>
      <c r="AN66" s="114"/>
      <c r="AO66" s="114"/>
      <c r="AP66" s="114"/>
      <c r="AQ66" s="114"/>
      <c r="AR66" s="114"/>
      <c r="AS66" s="114"/>
      <c r="AT66" s="114"/>
      <c r="AU66" s="114"/>
      <c r="AV66" s="114"/>
      <c r="AW66" s="114"/>
      <c r="AX66" s="114"/>
      <c r="AY66" s="114"/>
    </row>
    <row r="67" spans="1:51" x14ac:dyDescent="0.3">
      <c r="A67" s="114"/>
      <c r="B67" s="114"/>
      <c r="C67" s="114"/>
      <c r="D67" s="114"/>
      <c r="E67" s="114"/>
      <c r="F67" s="114"/>
      <c r="G67" s="114"/>
      <c r="H67" s="114"/>
      <c r="I67" s="114"/>
      <c r="J67" s="114"/>
      <c r="K67" s="114"/>
      <c r="L67" s="114"/>
      <c r="M67" s="114"/>
      <c r="N67" s="114"/>
      <c r="O67" s="114"/>
      <c r="P67" s="114"/>
      <c r="Q67" s="114"/>
      <c r="R67" s="114"/>
      <c r="S67" s="114"/>
      <c r="T67" s="114"/>
      <c r="U67" s="114"/>
      <c r="V67" s="114"/>
      <c r="W67" s="114"/>
      <c r="X67" s="114"/>
      <c r="Y67" s="114"/>
      <c r="Z67" s="114"/>
      <c r="AA67" s="114"/>
      <c r="AB67" s="114"/>
      <c r="AC67" s="114"/>
      <c r="AD67" s="114"/>
      <c r="AE67" s="114"/>
      <c r="AF67" s="114"/>
      <c r="AG67" s="114"/>
      <c r="AH67" s="114"/>
      <c r="AI67" s="114"/>
      <c r="AJ67" s="114"/>
      <c r="AK67" s="114"/>
      <c r="AL67" s="114"/>
      <c r="AM67" s="114"/>
      <c r="AN67" s="114"/>
      <c r="AO67" s="114"/>
      <c r="AP67" s="114"/>
      <c r="AQ67" s="114"/>
      <c r="AR67" s="114"/>
      <c r="AS67" s="114"/>
      <c r="AT67" s="114"/>
      <c r="AU67" s="114"/>
      <c r="AV67" s="114"/>
      <c r="AW67" s="114"/>
      <c r="AX67" s="114"/>
      <c r="AY67" s="114"/>
    </row>
    <row r="68" spans="1:51" x14ac:dyDescent="0.3">
      <c r="A68" s="114"/>
      <c r="B68" s="114"/>
      <c r="C68" s="114"/>
      <c r="D68" s="114"/>
      <c r="E68" s="114"/>
      <c r="F68" s="114"/>
      <c r="G68" s="114"/>
      <c r="H68" s="114"/>
      <c r="I68" s="114"/>
      <c r="J68" s="114"/>
      <c r="K68" s="114"/>
      <c r="L68" s="114"/>
      <c r="M68" s="114"/>
      <c r="N68" s="114"/>
      <c r="O68" s="114"/>
      <c r="P68" s="114"/>
      <c r="Q68" s="114"/>
      <c r="R68" s="114"/>
      <c r="S68" s="114"/>
      <c r="T68" s="114"/>
      <c r="U68" s="114"/>
      <c r="V68" s="114"/>
      <c r="W68" s="114"/>
      <c r="X68" s="114"/>
      <c r="Y68" s="114"/>
      <c r="Z68" s="114"/>
      <c r="AA68" s="114"/>
      <c r="AB68" s="114"/>
      <c r="AC68" s="114"/>
      <c r="AD68" s="114"/>
      <c r="AE68" s="114"/>
      <c r="AF68" s="114"/>
      <c r="AG68" s="114"/>
      <c r="AH68" s="114"/>
      <c r="AI68" s="114"/>
      <c r="AJ68" s="114"/>
      <c r="AK68" s="114"/>
      <c r="AL68" s="114"/>
      <c r="AM68" s="114"/>
      <c r="AN68" s="114"/>
      <c r="AO68" s="114"/>
      <c r="AP68" s="114"/>
      <c r="AQ68" s="114"/>
      <c r="AR68" s="114"/>
      <c r="AS68" s="114"/>
      <c r="AT68" s="114"/>
      <c r="AU68" s="114"/>
      <c r="AV68" s="114"/>
      <c r="AW68" s="114"/>
      <c r="AX68" s="114"/>
      <c r="AY68" s="114"/>
    </row>
    <row r="69" spans="1:51" x14ac:dyDescent="0.3">
      <c r="A69" s="114"/>
      <c r="B69" s="114"/>
      <c r="C69" s="114"/>
      <c r="D69" s="114"/>
      <c r="E69" s="114"/>
      <c r="F69" s="114"/>
      <c r="G69" s="114"/>
      <c r="H69" s="114"/>
      <c r="I69" s="114"/>
      <c r="J69" s="114"/>
      <c r="K69" s="114"/>
      <c r="L69" s="114"/>
      <c r="M69" s="114"/>
      <c r="N69" s="114"/>
      <c r="O69" s="114"/>
      <c r="P69" s="114"/>
      <c r="Q69" s="114"/>
      <c r="R69" s="114"/>
      <c r="S69" s="114"/>
      <c r="T69" s="114"/>
      <c r="U69" s="114"/>
      <c r="V69" s="114"/>
      <c r="W69" s="114"/>
      <c r="X69" s="114"/>
      <c r="Y69" s="114"/>
      <c r="Z69" s="114"/>
      <c r="AA69" s="114"/>
      <c r="AB69" s="114"/>
      <c r="AC69" s="114"/>
      <c r="AD69" s="114"/>
      <c r="AE69" s="114"/>
      <c r="AF69" s="114"/>
      <c r="AG69" s="114"/>
      <c r="AH69" s="114"/>
      <c r="AI69" s="114"/>
      <c r="AJ69" s="114"/>
      <c r="AK69" s="114"/>
      <c r="AL69" s="114"/>
      <c r="AM69" s="114"/>
      <c r="AN69" s="114"/>
      <c r="AO69" s="114"/>
      <c r="AP69" s="114"/>
      <c r="AQ69" s="114"/>
      <c r="AR69" s="114"/>
      <c r="AS69" s="114"/>
      <c r="AT69" s="114"/>
      <c r="AU69" s="114"/>
      <c r="AV69" s="114"/>
      <c r="AW69" s="114"/>
      <c r="AX69" s="114"/>
      <c r="AY69" s="114"/>
    </row>
    <row r="70" spans="1:51" x14ac:dyDescent="0.3">
      <c r="A70" s="114"/>
      <c r="B70" s="114"/>
      <c r="C70" s="114"/>
      <c r="D70" s="114"/>
      <c r="E70" s="114"/>
      <c r="F70" s="114"/>
      <c r="G70" s="114"/>
      <c r="H70" s="114"/>
      <c r="I70" s="114"/>
      <c r="J70" s="114"/>
      <c r="K70" s="114"/>
      <c r="L70" s="114"/>
      <c r="M70" s="114"/>
      <c r="N70" s="114"/>
      <c r="O70" s="114"/>
      <c r="P70" s="114"/>
      <c r="Q70" s="114"/>
      <c r="R70" s="114"/>
      <c r="S70" s="114"/>
      <c r="T70" s="114"/>
      <c r="U70" s="114"/>
      <c r="V70" s="114"/>
      <c r="W70" s="114"/>
      <c r="X70" s="114"/>
      <c r="Y70" s="114"/>
      <c r="Z70" s="114"/>
      <c r="AA70" s="114"/>
      <c r="AB70" s="114"/>
      <c r="AC70" s="114"/>
      <c r="AD70" s="114"/>
      <c r="AE70" s="114"/>
      <c r="AF70" s="114"/>
      <c r="AG70" s="114"/>
      <c r="AH70" s="114"/>
      <c r="AI70" s="114"/>
      <c r="AJ70" s="114"/>
      <c r="AK70" s="114"/>
      <c r="AL70" s="114"/>
      <c r="AM70" s="114"/>
      <c r="AN70" s="114"/>
      <c r="AO70" s="114"/>
      <c r="AP70" s="114"/>
      <c r="AQ70" s="114"/>
      <c r="AR70" s="114"/>
      <c r="AS70" s="114"/>
      <c r="AT70" s="114"/>
      <c r="AU70" s="114"/>
      <c r="AV70" s="114"/>
      <c r="AW70" s="114"/>
      <c r="AX70" s="114"/>
      <c r="AY70" s="114"/>
    </row>
    <row r="71" spans="1:51" x14ac:dyDescent="0.3">
      <c r="A71" s="114"/>
      <c r="B71" s="114"/>
      <c r="C71" s="114"/>
      <c r="D71" s="114"/>
      <c r="E71" s="114"/>
      <c r="F71" s="114"/>
      <c r="G71" s="114"/>
      <c r="H71" s="114"/>
      <c r="I71" s="114"/>
      <c r="J71" s="114"/>
      <c r="K71" s="114"/>
      <c r="L71" s="114"/>
      <c r="M71" s="114"/>
      <c r="N71" s="114"/>
      <c r="O71" s="114"/>
      <c r="P71" s="114"/>
      <c r="Q71" s="114"/>
      <c r="R71" s="114"/>
      <c r="S71" s="114"/>
      <c r="T71" s="114"/>
      <c r="U71" s="114"/>
      <c r="V71" s="114"/>
      <c r="W71" s="114"/>
      <c r="X71" s="114"/>
      <c r="Y71" s="114"/>
      <c r="Z71" s="114"/>
      <c r="AA71" s="114"/>
      <c r="AB71" s="114"/>
      <c r="AC71" s="114"/>
      <c r="AD71" s="114"/>
      <c r="AE71" s="114"/>
      <c r="AF71" s="114"/>
      <c r="AG71" s="114"/>
      <c r="AH71" s="114"/>
      <c r="AI71" s="114"/>
      <c r="AJ71" s="114"/>
      <c r="AK71" s="114"/>
      <c r="AL71" s="114"/>
      <c r="AM71" s="114"/>
      <c r="AN71" s="114"/>
      <c r="AO71" s="114"/>
      <c r="AP71" s="114"/>
      <c r="AQ71" s="114"/>
      <c r="AR71" s="114"/>
      <c r="AS71" s="114"/>
      <c r="AT71" s="114"/>
      <c r="AU71" s="114"/>
      <c r="AV71" s="114"/>
      <c r="AW71" s="114"/>
      <c r="AX71" s="114"/>
      <c r="AY71" s="114"/>
    </row>
    <row r="72" spans="1:51" x14ac:dyDescent="0.3">
      <c r="A72" s="114"/>
      <c r="B72" s="114"/>
      <c r="C72" s="114"/>
      <c r="D72" s="114"/>
      <c r="E72" s="114"/>
      <c r="F72" s="114"/>
      <c r="G72" s="114"/>
      <c r="H72" s="114"/>
      <c r="I72" s="114"/>
      <c r="J72" s="114"/>
      <c r="K72" s="114"/>
      <c r="L72" s="114"/>
      <c r="M72" s="114"/>
      <c r="N72" s="114"/>
      <c r="O72" s="114"/>
      <c r="P72" s="114"/>
      <c r="Q72" s="114"/>
      <c r="R72" s="114"/>
      <c r="S72" s="114"/>
      <c r="T72" s="114"/>
      <c r="U72" s="114"/>
      <c r="V72" s="114"/>
      <c r="W72" s="114"/>
      <c r="X72" s="114"/>
      <c r="Y72" s="114"/>
      <c r="Z72" s="114"/>
      <c r="AA72" s="114"/>
      <c r="AB72" s="114"/>
      <c r="AC72" s="114"/>
      <c r="AD72" s="114"/>
      <c r="AE72" s="114"/>
      <c r="AF72" s="114"/>
      <c r="AG72" s="114"/>
      <c r="AH72" s="114"/>
      <c r="AI72" s="114"/>
      <c r="AJ72" s="114"/>
      <c r="AK72" s="114"/>
      <c r="AL72" s="114"/>
      <c r="AM72" s="114"/>
      <c r="AN72" s="114"/>
      <c r="AO72" s="114"/>
      <c r="AP72" s="114"/>
      <c r="AQ72" s="114"/>
      <c r="AR72" s="114"/>
      <c r="AS72" s="114"/>
      <c r="AT72" s="114"/>
      <c r="AU72" s="114"/>
      <c r="AV72" s="114"/>
      <c r="AW72" s="114"/>
      <c r="AX72" s="114"/>
      <c r="AY72" s="114"/>
    </row>
    <row r="73" spans="1:51" x14ac:dyDescent="0.3">
      <c r="A73" s="114"/>
      <c r="B73" s="114"/>
      <c r="C73" s="114"/>
      <c r="D73" s="114"/>
      <c r="E73" s="114"/>
      <c r="F73" s="114"/>
      <c r="G73" s="114"/>
      <c r="H73" s="114"/>
      <c r="I73" s="114"/>
      <c r="J73" s="114"/>
      <c r="K73" s="114"/>
      <c r="L73" s="114"/>
      <c r="M73" s="114"/>
      <c r="N73" s="114"/>
      <c r="O73" s="114"/>
      <c r="P73" s="114"/>
      <c r="Q73" s="114"/>
      <c r="R73" s="114"/>
      <c r="S73" s="114"/>
      <c r="T73" s="114"/>
      <c r="U73" s="114"/>
      <c r="V73" s="114"/>
      <c r="W73" s="114"/>
      <c r="X73" s="114"/>
      <c r="Y73" s="114"/>
      <c r="Z73" s="114"/>
      <c r="AA73" s="114"/>
      <c r="AB73" s="114"/>
      <c r="AC73" s="114"/>
      <c r="AD73" s="114"/>
      <c r="AE73" s="114"/>
      <c r="AF73" s="114"/>
      <c r="AG73" s="114"/>
      <c r="AH73" s="114"/>
      <c r="AI73" s="114"/>
      <c r="AJ73" s="114"/>
      <c r="AK73" s="114"/>
      <c r="AL73" s="114"/>
      <c r="AM73" s="114"/>
      <c r="AN73" s="114"/>
      <c r="AO73" s="114"/>
      <c r="AP73" s="114"/>
      <c r="AQ73" s="114"/>
      <c r="AR73" s="114"/>
      <c r="AS73" s="114"/>
      <c r="AT73" s="114"/>
      <c r="AU73" s="114"/>
      <c r="AV73" s="114"/>
      <c r="AW73" s="114"/>
      <c r="AX73" s="114"/>
      <c r="AY73" s="114"/>
    </row>
    <row r="74" spans="1:51" x14ac:dyDescent="0.3">
      <c r="A74" s="114"/>
      <c r="B74" s="114"/>
      <c r="C74" s="114"/>
      <c r="D74" s="114"/>
      <c r="E74" s="114"/>
      <c r="F74" s="114"/>
      <c r="G74" s="114"/>
      <c r="H74" s="114"/>
      <c r="I74" s="114"/>
      <c r="J74" s="114"/>
      <c r="K74" s="114"/>
      <c r="L74" s="114"/>
      <c r="M74" s="114"/>
      <c r="N74" s="114"/>
      <c r="O74" s="114"/>
      <c r="P74" s="114"/>
      <c r="Q74" s="114"/>
      <c r="R74" s="114"/>
      <c r="S74" s="114"/>
      <c r="T74" s="114"/>
      <c r="U74" s="114"/>
      <c r="V74" s="114"/>
      <c r="W74" s="114"/>
      <c r="X74" s="114"/>
      <c r="Y74" s="114"/>
      <c r="Z74" s="114"/>
      <c r="AA74" s="114"/>
      <c r="AB74" s="114"/>
      <c r="AC74" s="114"/>
      <c r="AD74" s="114"/>
      <c r="AE74" s="114"/>
      <c r="AF74" s="114"/>
      <c r="AG74" s="114"/>
      <c r="AH74" s="114"/>
      <c r="AI74" s="114"/>
      <c r="AJ74" s="114"/>
      <c r="AK74" s="114"/>
      <c r="AL74" s="114"/>
      <c r="AM74" s="114"/>
      <c r="AN74" s="114"/>
      <c r="AO74" s="114"/>
      <c r="AP74" s="114"/>
      <c r="AQ74" s="114"/>
      <c r="AR74" s="114"/>
      <c r="AS74" s="114"/>
      <c r="AT74" s="114"/>
      <c r="AU74" s="114"/>
      <c r="AV74" s="114"/>
      <c r="AW74" s="114"/>
      <c r="AX74" s="114"/>
      <c r="AY74" s="114"/>
    </row>
    <row r="75" spans="1:51" x14ac:dyDescent="0.3">
      <c r="A75" s="114"/>
      <c r="B75" s="114"/>
      <c r="C75" s="114"/>
      <c r="D75" s="114"/>
      <c r="E75" s="114"/>
      <c r="F75" s="114"/>
      <c r="G75" s="114"/>
      <c r="H75" s="114"/>
      <c r="I75" s="114"/>
      <c r="J75" s="114"/>
      <c r="K75" s="114"/>
      <c r="L75" s="114"/>
      <c r="M75" s="114"/>
      <c r="N75" s="114"/>
      <c r="O75" s="114"/>
      <c r="P75" s="114"/>
      <c r="Q75" s="114"/>
      <c r="R75" s="114"/>
      <c r="S75" s="114"/>
      <c r="T75" s="114"/>
      <c r="U75" s="114"/>
      <c r="V75" s="114"/>
      <c r="W75" s="114"/>
      <c r="X75" s="114"/>
      <c r="Y75" s="114"/>
      <c r="Z75" s="114"/>
      <c r="AA75" s="114"/>
      <c r="AB75" s="114"/>
      <c r="AC75" s="114"/>
      <c r="AD75" s="114"/>
      <c r="AE75" s="114"/>
      <c r="AF75" s="114"/>
      <c r="AG75" s="114"/>
      <c r="AH75" s="114"/>
      <c r="AI75" s="114"/>
      <c r="AJ75" s="114"/>
      <c r="AK75" s="114"/>
      <c r="AL75" s="114"/>
      <c r="AM75" s="114"/>
      <c r="AN75" s="114"/>
      <c r="AO75" s="114"/>
      <c r="AP75" s="114"/>
      <c r="AQ75" s="114"/>
      <c r="AR75" s="114"/>
      <c r="AS75" s="114"/>
      <c r="AT75" s="114"/>
      <c r="AU75" s="114"/>
      <c r="AV75" s="114"/>
      <c r="AW75" s="114"/>
      <c r="AX75" s="114"/>
      <c r="AY75" s="114"/>
    </row>
    <row r="76" spans="1:51" x14ac:dyDescent="0.3">
      <c r="A76" s="114"/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Z76" s="114"/>
      <c r="AA76" s="114"/>
      <c r="AB76" s="114"/>
      <c r="AC76" s="114"/>
      <c r="AD76" s="114"/>
      <c r="AE76" s="114"/>
      <c r="AF76" s="114"/>
      <c r="AG76" s="114"/>
      <c r="AH76" s="114"/>
      <c r="AI76" s="114"/>
      <c r="AJ76" s="114"/>
      <c r="AK76" s="114"/>
      <c r="AL76" s="114"/>
      <c r="AM76" s="114"/>
      <c r="AN76" s="114"/>
      <c r="AO76" s="114"/>
      <c r="AP76" s="114"/>
      <c r="AQ76" s="114"/>
      <c r="AR76" s="114"/>
      <c r="AS76" s="114"/>
      <c r="AT76" s="114"/>
      <c r="AU76" s="114"/>
      <c r="AV76" s="114"/>
      <c r="AW76" s="114"/>
      <c r="AX76" s="114"/>
      <c r="AY76" s="114"/>
    </row>
    <row r="77" spans="1:51" x14ac:dyDescent="0.3">
      <c r="A77" s="114"/>
      <c r="B77" s="114"/>
      <c r="C77" s="114"/>
      <c r="D77" s="114"/>
      <c r="E77" s="114"/>
      <c r="F77" s="114"/>
      <c r="G77" s="114"/>
      <c r="H77" s="114"/>
      <c r="I77" s="114"/>
      <c r="J77" s="114"/>
      <c r="K77" s="114"/>
      <c r="L77" s="114"/>
      <c r="M77" s="114"/>
      <c r="N77" s="114"/>
      <c r="O77" s="114"/>
      <c r="P77" s="114"/>
      <c r="Q77" s="114"/>
      <c r="R77" s="114"/>
      <c r="S77" s="114"/>
      <c r="T77" s="114"/>
      <c r="U77" s="114"/>
      <c r="V77" s="114"/>
      <c r="W77" s="114"/>
      <c r="X77" s="114"/>
      <c r="Y77" s="114"/>
      <c r="Z77" s="114"/>
      <c r="AA77" s="114"/>
      <c r="AB77" s="114"/>
      <c r="AC77" s="114"/>
      <c r="AD77" s="114"/>
      <c r="AE77" s="114"/>
      <c r="AF77" s="114"/>
      <c r="AG77" s="114"/>
      <c r="AH77" s="114"/>
      <c r="AI77" s="114"/>
      <c r="AJ77" s="114"/>
      <c r="AK77" s="114"/>
      <c r="AL77" s="114"/>
      <c r="AM77" s="114"/>
      <c r="AN77" s="114"/>
      <c r="AO77" s="114"/>
      <c r="AP77" s="114"/>
      <c r="AQ77" s="114"/>
      <c r="AR77" s="114"/>
      <c r="AS77" s="114"/>
      <c r="AT77" s="114"/>
      <c r="AU77" s="114"/>
      <c r="AV77" s="114"/>
      <c r="AW77" s="114"/>
      <c r="AX77" s="114"/>
      <c r="AY77" s="114"/>
    </row>
    <row r="78" spans="1:51" x14ac:dyDescent="0.3">
      <c r="A78" s="114"/>
      <c r="B78" s="114"/>
      <c r="C78" s="114"/>
      <c r="D78" s="114"/>
      <c r="E78" s="114"/>
      <c r="F78" s="114"/>
      <c r="G78" s="114"/>
      <c r="H78" s="114"/>
      <c r="I78" s="114"/>
      <c r="J78" s="114"/>
      <c r="K78" s="114"/>
      <c r="L78" s="114"/>
      <c r="M78" s="114"/>
      <c r="N78" s="114"/>
      <c r="O78" s="114"/>
      <c r="P78" s="114"/>
      <c r="Q78" s="114"/>
      <c r="R78" s="114"/>
      <c r="S78" s="114"/>
      <c r="T78" s="114"/>
      <c r="U78" s="114"/>
      <c r="V78" s="114"/>
      <c r="W78" s="114"/>
      <c r="X78" s="114"/>
      <c r="Y78" s="114"/>
      <c r="Z78" s="114"/>
      <c r="AA78" s="114"/>
      <c r="AB78" s="114"/>
      <c r="AC78" s="114"/>
      <c r="AD78" s="114"/>
      <c r="AE78" s="114"/>
      <c r="AF78" s="114"/>
      <c r="AG78" s="114"/>
      <c r="AH78" s="114"/>
      <c r="AI78" s="114"/>
      <c r="AJ78" s="114"/>
      <c r="AK78" s="114"/>
      <c r="AL78" s="114"/>
      <c r="AM78" s="114"/>
      <c r="AN78" s="114"/>
      <c r="AO78" s="114"/>
      <c r="AP78" s="114"/>
      <c r="AQ78" s="114"/>
      <c r="AR78" s="114"/>
      <c r="AS78" s="114"/>
      <c r="AT78" s="114"/>
      <c r="AU78" s="114"/>
      <c r="AV78" s="114"/>
      <c r="AW78" s="114"/>
      <c r="AX78" s="114"/>
      <c r="AY78" s="114"/>
    </row>
    <row r="79" spans="1:51" x14ac:dyDescent="0.3">
      <c r="A79" s="114"/>
      <c r="B79" s="114"/>
      <c r="C79" s="114"/>
      <c r="D79" s="114"/>
      <c r="E79" s="114"/>
      <c r="F79" s="114"/>
      <c r="G79" s="114"/>
      <c r="H79" s="114"/>
      <c r="I79" s="114"/>
      <c r="J79" s="114"/>
      <c r="K79" s="114"/>
      <c r="L79" s="114"/>
      <c r="M79" s="114"/>
      <c r="N79" s="114"/>
      <c r="O79" s="114"/>
      <c r="P79" s="114"/>
      <c r="Q79" s="114"/>
      <c r="R79" s="114"/>
      <c r="S79" s="114"/>
      <c r="T79" s="114"/>
      <c r="U79" s="114"/>
      <c r="V79" s="114"/>
      <c r="W79" s="114"/>
      <c r="X79" s="114"/>
      <c r="Y79" s="114"/>
      <c r="Z79" s="114"/>
      <c r="AA79" s="114"/>
      <c r="AB79" s="114"/>
      <c r="AC79" s="114"/>
      <c r="AD79" s="114"/>
      <c r="AE79" s="114"/>
      <c r="AF79" s="114"/>
      <c r="AG79" s="114"/>
      <c r="AH79" s="114"/>
      <c r="AI79" s="114"/>
      <c r="AJ79" s="114"/>
      <c r="AK79" s="114"/>
      <c r="AL79" s="114"/>
      <c r="AM79" s="114"/>
      <c r="AN79" s="114"/>
      <c r="AO79" s="114"/>
      <c r="AP79" s="114"/>
      <c r="AQ79" s="114"/>
      <c r="AR79" s="114"/>
      <c r="AS79" s="114"/>
      <c r="AT79" s="114"/>
      <c r="AU79" s="114"/>
      <c r="AV79" s="114"/>
      <c r="AW79" s="114"/>
      <c r="AX79" s="114"/>
      <c r="AY79" s="114"/>
    </row>
    <row r="80" spans="1:51" x14ac:dyDescent="0.3">
      <c r="A80" s="114"/>
      <c r="B80" s="114"/>
      <c r="C80" s="114"/>
      <c r="D80" s="114"/>
      <c r="E80" s="114"/>
      <c r="F80" s="114"/>
      <c r="G80" s="114"/>
      <c r="H80" s="114"/>
      <c r="I80" s="114"/>
      <c r="J80" s="114"/>
      <c r="K80" s="114"/>
      <c r="L80" s="114"/>
      <c r="M80" s="114"/>
      <c r="N80" s="114"/>
      <c r="O80" s="114"/>
      <c r="P80" s="114"/>
      <c r="Q80" s="114"/>
      <c r="R80" s="114"/>
      <c r="S80" s="114"/>
      <c r="T80" s="114"/>
      <c r="U80" s="114"/>
      <c r="V80" s="114"/>
      <c r="W80" s="114"/>
      <c r="X80" s="114"/>
      <c r="Y80" s="114"/>
      <c r="Z80" s="114"/>
      <c r="AA80" s="114"/>
      <c r="AB80" s="114"/>
      <c r="AC80" s="114"/>
      <c r="AD80" s="114"/>
      <c r="AE80" s="114"/>
      <c r="AF80" s="114"/>
      <c r="AG80" s="114"/>
      <c r="AH80" s="114"/>
      <c r="AI80" s="114"/>
      <c r="AJ80" s="114"/>
      <c r="AK80" s="114"/>
      <c r="AL80" s="114"/>
      <c r="AM80" s="114"/>
      <c r="AN80" s="114"/>
      <c r="AO80" s="114"/>
      <c r="AP80" s="114"/>
      <c r="AQ80" s="114"/>
      <c r="AR80" s="114"/>
      <c r="AS80" s="114"/>
      <c r="AT80" s="114"/>
      <c r="AU80" s="114"/>
      <c r="AV80" s="114"/>
      <c r="AW80" s="114"/>
      <c r="AX80" s="114"/>
      <c r="AY80" s="114"/>
    </row>
    <row r="81" spans="1:51" x14ac:dyDescent="0.3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  <c r="AD81" s="114"/>
      <c r="AE81" s="114"/>
      <c r="AF81" s="114"/>
      <c r="AG81" s="114"/>
      <c r="AH81" s="114"/>
      <c r="AI81" s="114"/>
      <c r="AJ81" s="114"/>
      <c r="AK81" s="114"/>
      <c r="AL81" s="114"/>
      <c r="AM81" s="114"/>
      <c r="AN81" s="114"/>
      <c r="AO81" s="114"/>
      <c r="AP81" s="114"/>
      <c r="AQ81" s="114"/>
      <c r="AR81" s="114"/>
      <c r="AS81" s="114"/>
      <c r="AT81" s="114"/>
      <c r="AU81" s="114"/>
      <c r="AV81" s="114"/>
      <c r="AW81" s="114"/>
      <c r="AX81" s="114"/>
      <c r="AY81" s="114"/>
    </row>
    <row r="82" spans="1:51" x14ac:dyDescent="0.3">
      <c r="A82" s="114"/>
      <c r="B82" s="114"/>
      <c r="C82" s="114"/>
      <c r="D82" s="114"/>
      <c r="E82" s="114"/>
      <c r="F82" s="114"/>
      <c r="G82" s="114"/>
      <c r="H82" s="114"/>
      <c r="I82" s="114"/>
      <c r="J82" s="114"/>
      <c r="K82" s="114"/>
      <c r="L82" s="114"/>
      <c r="M82" s="114"/>
      <c r="N82" s="114"/>
      <c r="O82" s="114"/>
      <c r="P82" s="114"/>
      <c r="Q82" s="114"/>
      <c r="R82" s="114"/>
      <c r="S82" s="114"/>
      <c r="T82" s="114"/>
      <c r="U82" s="114"/>
      <c r="V82" s="114"/>
      <c r="W82" s="114"/>
      <c r="X82" s="114"/>
      <c r="Y82" s="114"/>
      <c r="Z82" s="114"/>
      <c r="AA82" s="114"/>
      <c r="AB82" s="114"/>
      <c r="AC82" s="114"/>
      <c r="AD82" s="114"/>
      <c r="AE82" s="114"/>
      <c r="AF82" s="114"/>
      <c r="AG82" s="114"/>
      <c r="AH82" s="114"/>
      <c r="AI82" s="114"/>
      <c r="AJ82" s="114"/>
      <c r="AK82" s="114"/>
      <c r="AL82" s="114"/>
      <c r="AM82" s="114"/>
      <c r="AN82" s="114"/>
      <c r="AO82" s="114"/>
      <c r="AP82" s="114"/>
      <c r="AQ82" s="114"/>
      <c r="AR82" s="114"/>
      <c r="AS82" s="114"/>
      <c r="AT82" s="114"/>
      <c r="AU82" s="114"/>
      <c r="AV82" s="114"/>
      <c r="AW82" s="114"/>
      <c r="AX82" s="114"/>
      <c r="AY82" s="114"/>
    </row>
    <row r="83" spans="1:51" x14ac:dyDescent="0.3">
      <c r="A83" s="114"/>
      <c r="B83" s="114"/>
      <c r="C83" s="114"/>
      <c r="D83" s="114"/>
      <c r="E83" s="114"/>
      <c r="F83" s="114"/>
      <c r="G83" s="114"/>
      <c r="H83" s="114"/>
      <c r="I83" s="114"/>
      <c r="J83" s="114"/>
      <c r="K83" s="114"/>
      <c r="L83" s="114"/>
      <c r="M83" s="114"/>
      <c r="N83" s="114"/>
      <c r="O83" s="114"/>
      <c r="P83" s="114"/>
      <c r="Q83" s="114"/>
      <c r="R83" s="114"/>
      <c r="S83" s="114"/>
      <c r="T83" s="114"/>
      <c r="U83" s="114"/>
      <c r="V83" s="114"/>
      <c r="W83" s="114"/>
      <c r="X83" s="114"/>
      <c r="Y83" s="114"/>
      <c r="Z83" s="114"/>
      <c r="AA83" s="114"/>
      <c r="AB83" s="114"/>
      <c r="AC83" s="114"/>
      <c r="AD83" s="114"/>
      <c r="AE83" s="114"/>
      <c r="AF83" s="114"/>
      <c r="AG83" s="114"/>
      <c r="AH83" s="114"/>
      <c r="AI83" s="114"/>
      <c r="AJ83" s="114"/>
      <c r="AK83" s="114"/>
      <c r="AL83" s="114"/>
      <c r="AM83" s="114"/>
      <c r="AN83" s="114"/>
      <c r="AO83" s="114"/>
      <c r="AP83" s="114"/>
      <c r="AQ83" s="114"/>
      <c r="AR83" s="114"/>
      <c r="AS83" s="114"/>
      <c r="AT83" s="114"/>
      <c r="AU83" s="114"/>
      <c r="AV83" s="114"/>
      <c r="AW83" s="114"/>
      <c r="AX83" s="114"/>
      <c r="AY83" s="114"/>
    </row>
    <row r="84" spans="1:51" x14ac:dyDescent="0.3">
      <c r="A84" s="114"/>
      <c r="B84" s="114"/>
      <c r="C84" s="114"/>
      <c r="D84" s="114"/>
      <c r="E84" s="114"/>
      <c r="F84" s="114"/>
      <c r="G84" s="114"/>
      <c r="H84" s="114"/>
      <c r="I84" s="114"/>
      <c r="J84" s="114"/>
      <c r="K84" s="114"/>
      <c r="L84" s="114"/>
      <c r="M84" s="114"/>
      <c r="N84" s="114"/>
      <c r="O84" s="114"/>
      <c r="P84" s="114"/>
      <c r="Q84" s="114"/>
      <c r="R84" s="114"/>
      <c r="S84" s="114"/>
      <c r="T84" s="114"/>
      <c r="U84" s="114"/>
      <c r="V84" s="114"/>
      <c r="W84" s="114"/>
      <c r="X84" s="114"/>
      <c r="Y84" s="114"/>
      <c r="Z84" s="114"/>
      <c r="AA84" s="114"/>
      <c r="AB84" s="114"/>
      <c r="AC84" s="114"/>
      <c r="AD84" s="114"/>
      <c r="AE84" s="114"/>
      <c r="AF84" s="114"/>
      <c r="AG84" s="114"/>
      <c r="AH84" s="114"/>
      <c r="AI84" s="114"/>
      <c r="AJ84" s="114"/>
      <c r="AK84" s="114"/>
      <c r="AL84" s="114"/>
      <c r="AM84" s="114"/>
      <c r="AN84" s="114"/>
      <c r="AO84" s="114"/>
      <c r="AP84" s="114"/>
      <c r="AQ84" s="114"/>
      <c r="AR84" s="114"/>
      <c r="AS84" s="114"/>
      <c r="AT84" s="114"/>
      <c r="AU84" s="114"/>
      <c r="AV84" s="114"/>
      <c r="AW84" s="114"/>
      <c r="AX84" s="114"/>
      <c r="AY84" s="114"/>
    </row>
    <row r="85" spans="1:51" x14ac:dyDescent="0.3">
      <c r="A85" s="114"/>
      <c r="B85" s="114"/>
      <c r="C85" s="114"/>
      <c r="D85" s="114"/>
      <c r="E85" s="114"/>
      <c r="F85" s="114"/>
      <c r="G85" s="114"/>
      <c r="H85" s="114"/>
      <c r="I85" s="114"/>
      <c r="J85" s="114"/>
      <c r="K85" s="114"/>
      <c r="L85" s="114"/>
      <c r="M85" s="114"/>
      <c r="N85" s="114"/>
      <c r="O85" s="114"/>
      <c r="P85" s="114"/>
      <c r="Q85" s="114"/>
      <c r="R85" s="114"/>
      <c r="S85" s="114"/>
      <c r="T85" s="114"/>
      <c r="U85" s="114"/>
      <c r="V85" s="114"/>
      <c r="W85" s="114"/>
      <c r="X85" s="114"/>
      <c r="Y85" s="114"/>
      <c r="Z85" s="114"/>
      <c r="AA85" s="114"/>
      <c r="AB85" s="114"/>
      <c r="AC85" s="114"/>
      <c r="AD85" s="114"/>
      <c r="AE85" s="114"/>
      <c r="AF85" s="114"/>
      <c r="AG85" s="114"/>
      <c r="AH85" s="114"/>
      <c r="AI85" s="114"/>
      <c r="AJ85" s="114"/>
      <c r="AK85" s="114"/>
      <c r="AL85" s="114"/>
      <c r="AM85" s="114"/>
      <c r="AN85" s="114"/>
      <c r="AO85" s="114"/>
      <c r="AP85" s="114"/>
      <c r="AQ85" s="114"/>
      <c r="AR85" s="114"/>
      <c r="AS85" s="114"/>
      <c r="AT85" s="114"/>
      <c r="AU85" s="114"/>
      <c r="AV85" s="114"/>
      <c r="AW85" s="114"/>
      <c r="AX85" s="114"/>
      <c r="AY85" s="114"/>
    </row>
    <row r="86" spans="1:51" x14ac:dyDescent="0.3">
      <c r="A86" s="114"/>
      <c r="B86" s="114"/>
      <c r="C86" s="114"/>
      <c r="D86" s="114"/>
      <c r="E86" s="114"/>
      <c r="F86" s="114"/>
      <c r="G86" s="114"/>
      <c r="H86" s="114"/>
      <c r="I86" s="114"/>
      <c r="J86" s="114"/>
      <c r="K86" s="114"/>
      <c r="L86" s="114"/>
      <c r="M86" s="114"/>
      <c r="N86" s="114"/>
      <c r="O86" s="114"/>
      <c r="P86" s="114"/>
      <c r="Q86" s="114"/>
      <c r="R86" s="114"/>
      <c r="S86" s="114"/>
      <c r="T86" s="114"/>
      <c r="U86" s="114"/>
      <c r="V86" s="114"/>
      <c r="W86" s="114"/>
      <c r="X86" s="114"/>
      <c r="Y86" s="114"/>
      <c r="Z86" s="114"/>
      <c r="AA86" s="114"/>
      <c r="AB86" s="114"/>
      <c r="AC86" s="114"/>
      <c r="AD86" s="114"/>
      <c r="AE86" s="114"/>
      <c r="AF86" s="114"/>
      <c r="AG86" s="114"/>
      <c r="AH86" s="114"/>
      <c r="AI86" s="114"/>
      <c r="AJ86" s="114"/>
      <c r="AK86" s="114"/>
      <c r="AL86" s="114"/>
      <c r="AM86" s="114"/>
      <c r="AN86" s="114"/>
      <c r="AO86" s="114"/>
      <c r="AP86" s="114"/>
      <c r="AQ86" s="114"/>
      <c r="AR86" s="114"/>
      <c r="AS86" s="114"/>
      <c r="AT86" s="114"/>
      <c r="AU86" s="114"/>
      <c r="AV86" s="114"/>
      <c r="AW86" s="114"/>
      <c r="AX86" s="114"/>
      <c r="AY86" s="114"/>
    </row>
    <row r="87" spans="1:51" x14ac:dyDescent="0.3">
      <c r="A87" s="114"/>
      <c r="B87" s="114"/>
      <c r="C87" s="114"/>
      <c r="D87" s="114"/>
      <c r="E87" s="114"/>
      <c r="F87" s="114"/>
      <c r="G87" s="114"/>
      <c r="H87" s="114"/>
      <c r="I87" s="114"/>
      <c r="J87" s="114"/>
      <c r="K87" s="114"/>
      <c r="L87" s="114"/>
      <c r="M87" s="114"/>
      <c r="N87" s="114"/>
      <c r="O87" s="114"/>
      <c r="P87" s="114"/>
      <c r="Q87" s="114"/>
      <c r="R87" s="114"/>
      <c r="S87" s="114"/>
      <c r="T87" s="114"/>
      <c r="U87" s="114"/>
      <c r="V87" s="114"/>
      <c r="W87" s="114"/>
      <c r="X87" s="114"/>
      <c r="Y87" s="114"/>
      <c r="Z87" s="114"/>
      <c r="AA87" s="114"/>
      <c r="AB87" s="114"/>
      <c r="AC87" s="114"/>
      <c r="AD87" s="114"/>
      <c r="AE87" s="114"/>
      <c r="AF87" s="114"/>
      <c r="AG87" s="114"/>
      <c r="AH87" s="114"/>
      <c r="AI87" s="114"/>
      <c r="AJ87" s="114"/>
      <c r="AK87" s="114"/>
      <c r="AL87" s="114"/>
      <c r="AM87" s="114"/>
      <c r="AN87" s="114"/>
      <c r="AO87" s="114"/>
      <c r="AP87" s="114"/>
      <c r="AQ87" s="114"/>
      <c r="AR87" s="114"/>
      <c r="AS87" s="114"/>
      <c r="AT87" s="114"/>
      <c r="AU87" s="114"/>
      <c r="AV87" s="114"/>
      <c r="AW87" s="114"/>
      <c r="AX87" s="114"/>
      <c r="AY87" s="114"/>
    </row>
    <row r="88" spans="1:51" x14ac:dyDescent="0.3">
      <c r="A88" s="114"/>
      <c r="B88" s="114"/>
      <c r="C88" s="114"/>
      <c r="D88" s="114"/>
      <c r="E88" s="114"/>
      <c r="F88" s="114"/>
      <c r="G88" s="114"/>
      <c r="H88" s="114"/>
      <c r="I88" s="114"/>
      <c r="J88" s="114"/>
      <c r="K88" s="114"/>
      <c r="L88" s="114"/>
      <c r="M88" s="114"/>
      <c r="N88" s="114"/>
      <c r="O88" s="114"/>
      <c r="P88" s="114"/>
      <c r="Q88" s="114"/>
      <c r="R88" s="114"/>
      <c r="S88" s="114"/>
      <c r="T88" s="114"/>
      <c r="U88" s="114"/>
      <c r="V88" s="114"/>
      <c r="W88" s="114"/>
      <c r="X88" s="114"/>
      <c r="Y88" s="114"/>
      <c r="Z88" s="114"/>
      <c r="AA88" s="114"/>
      <c r="AB88" s="114"/>
      <c r="AC88" s="114"/>
      <c r="AD88" s="114"/>
      <c r="AE88" s="114"/>
      <c r="AF88" s="114"/>
      <c r="AG88" s="114"/>
      <c r="AH88" s="114"/>
      <c r="AI88" s="114"/>
      <c r="AJ88" s="114"/>
      <c r="AK88" s="114"/>
      <c r="AL88" s="114"/>
      <c r="AM88" s="114"/>
      <c r="AN88" s="114"/>
      <c r="AO88" s="114"/>
      <c r="AP88" s="114"/>
      <c r="AQ88" s="114"/>
      <c r="AR88" s="114"/>
      <c r="AS88" s="114"/>
      <c r="AT88" s="114"/>
      <c r="AU88" s="114"/>
      <c r="AV88" s="114"/>
      <c r="AW88" s="114"/>
      <c r="AX88" s="114"/>
      <c r="AY88" s="114"/>
    </row>
    <row r="89" spans="1:51" x14ac:dyDescent="0.3">
      <c r="A89" s="114"/>
      <c r="B89" s="114"/>
      <c r="C89" s="114"/>
      <c r="D89" s="114"/>
      <c r="E89" s="114"/>
      <c r="F89" s="114"/>
      <c r="G89" s="114"/>
      <c r="H89" s="114"/>
      <c r="I89" s="114"/>
      <c r="J89" s="114"/>
      <c r="K89" s="114"/>
      <c r="L89" s="114"/>
      <c r="M89" s="114"/>
      <c r="N89" s="114"/>
      <c r="O89" s="114"/>
      <c r="P89" s="114"/>
      <c r="Q89" s="114"/>
      <c r="R89" s="114"/>
      <c r="S89" s="114"/>
      <c r="T89" s="114"/>
      <c r="U89" s="114"/>
      <c r="V89" s="114"/>
      <c r="W89" s="114"/>
      <c r="X89" s="114"/>
      <c r="Y89" s="114"/>
      <c r="Z89" s="114"/>
      <c r="AA89" s="114"/>
      <c r="AB89" s="114"/>
      <c r="AC89" s="114"/>
      <c r="AD89" s="114"/>
      <c r="AE89" s="114"/>
      <c r="AF89" s="114"/>
      <c r="AG89" s="114"/>
      <c r="AH89" s="114"/>
      <c r="AI89" s="114"/>
      <c r="AJ89" s="114"/>
      <c r="AK89" s="114"/>
      <c r="AL89" s="114"/>
      <c r="AM89" s="114"/>
      <c r="AN89" s="114"/>
      <c r="AO89" s="114"/>
      <c r="AP89" s="114"/>
      <c r="AQ89" s="114"/>
      <c r="AR89" s="114"/>
      <c r="AS89" s="114"/>
      <c r="AT89" s="114"/>
      <c r="AU89" s="114"/>
      <c r="AV89" s="114"/>
      <c r="AW89" s="114"/>
      <c r="AX89" s="114"/>
      <c r="AY89" s="114"/>
    </row>
    <row r="90" spans="1:51" x14ac:dyDescent="0.3">
      <c r="A90" s="114"/>
      <c r="B90" s="114"/>
      <c r="C90" s="114"/>
      <c r="D90" s="114"/>
      <c r="E90" s="114"/>
      <c r="F90" s="114"/>
      <c r="G90" s="114"/>
      <c r="H90" s="114"/>
      <c r="I90" s="114"/>
      <c r="J90" s="114"/>
      <c r="K90" s="114"/>
      <c r="L90" s="114"/>
      <c r="M90" s="114"/>
      <c r="N90" s="114"/>
      <c r="O90" s="114"/>
      <c r="P90" s="114"/>
      <c r="Q90" s="114"/>
      <c r="R90" s="114"/>
      <c r="S90" s="114"/>
      <c r="T90" s="114"/>
      <c r="U90" s="114"/>
      <c r="V90" s="114"/>
      <c r="W90" s="114"/>
      <c r="X90" s="114"/>
      <c r="Y90" s="114"/>
      <c r="Z90" s="114"/>
      <c r="AA90" s="114"/>
      <c r="AB90" s="114"/>
      <c r="AC90" s="114"/>
      <c r="AD90" s="114"/>
      <c r="AE90" s="114"/>
      <c r="AF90" s="114"/>
      <c r="AG90" s="114"/>
      <c r="AH90" s="114"/>
      <c r="AI90" s="114"/>
      <c r="AJ90" s="114"/>
      <c r="AK90" s="114"/>
      <c r="AL90" s="114"/>
      <c r="AM90" s="114"/>
      <c r="AN90" s="114"/>
      <c r="AO90" s="114"/>
      <c r="AP90" s="114"/>
      <c r="AQ90" s="114"/>
      <c r="AR90" s="114"/>
      <c r="AS90" s="114"/>
      <c r="AT90" s="114"/>
      <c r="AU90" s="114"/>
      <c r="AV90" s="114"/>
      <c r="AW90" s="114"/>
      <c r="AX90" s="114"/>
      <c r="AY90" s="114"/>
    </row>
    <row r="91" spans="1:51" x14ac:dyDescent="0.3">
      <c r="A91" s="114"/>
      <c r="B91" s="114"/>
      <c r="C91" s="114"/>
      <c r="D91" s="114"/>
      <c r="E91" s="114"/>
      <c r="F91" s="114"/>
      <c r="G91" s="114"/>
      <c r="H91" s="114"/>
      <c r="I91" s="114"/>
      <c r="J91" s="114"/>
      <c r="K91" s="114"/>
      <c r="L91" s="114"/>
      <c r="M91" s="114"/>
      <c r="N91" s="114"/>
      <c r="O91" s="114"/>
      <c r="P91" s="114"/>
      <c r="Q91" s="114"/>
      <c r="R91" s="114"/>
      <c r="S91" s="114"/>
      <c r="T91" s="114"/>
      <c r="U91" s="114"/>
      <c r="V91" s="114"/>
      <c r="W91" s="114"/>
      <c r="X91" s="114"/>
      <c r="Y91" s="114"/>
      <c r="Z91" s="114"/>
      <c r="AA91" s="114"/>
      <c r="AB91" s="114"/>
      <c r="AC91" s="114"/>
      <c r="AD91" s="114"/>
      <c r="AE91" s="114"/>
      <c r="AF91" s="114"/>
      <c r="AG91" s="114"/>
      <c r="AH91" s="114"/>
      <c r="AI91" s="114"/>
      <c r="AJ91" s="114"/>
      <c r="AK91" s="114"/>
      <c r="AL91" s="114"/>
      <c r="AM91" s="114"/>
      <c r="AN91" s="114"/>
      <c r="AO91" s="114"/>
      <c r="AP91" s="114"/>
      <c r="AQ91" s="114"/>
      <c r="AR91" s="114"/>
      <c r="AS91" s="114"/>
      <c r="AT91" s="114"/>
      <c r="AU91" s="114"/>
      <c r="AV91" s="114"/>
      <c r="AW91" s="114"/>
      <c r="AX91" s="114"/>
      <c r="AY91" s="114"/>
    </row>
    <row r="92" spans="1:51" x14ac:dyDescent="0.3">
      <c r="A92" s="114"/>
      <c r="B92" s="114"/>
      <c r="C92" s="114"/>
      <c r="D92" s="114"/>
      <c r="E92" s="114"/>
      <c r="F92" s="114"/>
      <c r="G92" s="114"/>
      <c r="H92" s="114"/>
      <c r="I92" s="114"/>
      <c r="J92" s="114"/>
      <c r="K92" s="114"/>
      <c r="L92" s="114"/>
      <c r="M92" s="114"/>
      <c r="N92" s="114"/>
      <c r="O92" s="114"/>
      <c r="P92" s="114"/>
      <c r="Q92" s="114"/>
      <c r="R92" s="114"/>
      <c r="S92" s="114"/>
      <c r="T92" s="114"/>
      <c r="U92" s="114"/>
      <c r="V92" s="114"/>
      <c r="W92" s="114"/>
      <c r="X92" s="114"/>
      <c r="Y92" s="114"/>
      <c r="Z92" s="114"/>
      <c r="AA92" s="114"/>
      <c r="AB92" s="114"/>
      <c r="AC92" s="114"/>
      <c r="AD92" s="114"/>
      <c r="AE92" s="114"/>
      <c r="AF92" s="114"/>
      <c r="AG92" s="114"/>
      <c r="AH92" s="114"/>
      <c r="AI92" s="114"/>
      <c r="AJ92" s="114"/>
      <c r="AK92" s="114"/>
      <c r="AL92" s="114"/>
      <c r="AM92" s="114"/>
      <c r="AN92" s="114"/>
      <c r="AO92" s="114"/>
      <c r="AP92" s="114"/>
      <c r="AQ92" s="114"/>
      <c r="AR92" s="114"/>
      <c r="AS92" s="114"/>
      <c r="AT92" s="114"/>
      <c r="AU92" s="114"/>
      <c r="AV92" s="114"/>
      <c r="AW92" s="114"/>
      <c r="AX92" s="114"/>
      <c r="AY92" s="114"/>
    </row>
    <row r="93" spans="1:51" x14ac:dyDescent="0.3">
      <c r="A93" s="114"/>
      <c r="B93" s="114"/>
      <c r="C93" s="114"/>
      <c r="D93" s="114"/>
      <c r="E93" s="114"/>
      <c r="F93" s="114"/>
      <c r="G93" s="114"/>
      <c r="H93" s="114"/>
      <c r="I93" s="114"/>
      <c r="J93" s="114"/>
      <c r="K93" s="114"/>
      <c r="L93" s="114"/>
      <c r="M93" s="114"/>
      <c r="N93" s="114"/>
      <c r="O93" s="114"/>
      <c r="P93" s="114"/>
      <c r="Q93" s="114"/>
      <c r="R93" s="114"/>
      <c r="S93" s="114"/>
      <c r="T93" s="114"/>
      <c r="U93" s="114"/>
      <c r="V93" s="114"/>
      <c r="W93" s="114"/>
      <c r="X93" s="114"/>
      <c r="Y93" s="114"/>
      <c r="Z93" s="114"/>
      <c r="AA93" s="114"/>
      <c r="AB93" s="114"/>
      <c r="AC93" s="114"/>
      <c r="AD93" s="114"/>
      <c r="AE93" s="114"/>
      <c r="AF93" s="114"/>
      <c r="AG93" s="114"/>
      <c r="AH93" s="114"/>
      <c r="AI93" s="114"/>
      <c r="AJ93" s="114"/>
      <c r="AK93" s="114"/>
      <c r="AL93" s="114"/>
      <c r="AM93" s="114"/>
      <c r="AN93" s="114"/>
      <c r="AO93" s="114"/>
      <c r="AP93" s="114"/>
      <c r="AQ93" s="114"/>
      <c r="AR93" s="114"/>
      <c r="AS93" s="114"/>
      <c r="AT93" s="114"/>
      <c r="AU93" s="114"/>
      <c r="AV93" s="114"/>
      <c r="AW93" s="114"/>
      <c r="AX93" s="114"/>
      <c r="AY93" s="114"/>
    </row>
    <row r="94" spans="1:51" x14ac:dyDescent="0.3">
      <c r="A94" s="114"/>
      <c r="B94" s="114"/>
      <c r="C94" s="114"/>
      <c r="D94" s="114"/>
      <c r="E94" s="114"/>
      <c r="F94" s="114"/>
      <c r="G94" s="114"/>
      <c r="H94" s="114"/>
      <c r="I94" s="114"/>
      <c r="J94" s="114"/>
      <c r="K94" s="114"/>
      <c r="L94" s="114"/>
      <c r="M94" s="114"/>
      <c r="N94" s="114"/>
      <c r="O94" s="114"/>
      <c r="P94" s="114"/>
      <c r="Q94" s="114"/>
      <c r="R94" s="114"/>
      <c r="S94" s="114"/>
      <c r="T94" s="114"/>
      <c r="U94" s="114"/>
      <c r="V94" s="114"/>
      <c r="W94" s="114"/>
      <c r="X94" s="114"/>
      <c r="Y94" s="114"/>
      <c r="Z94" s="114"/>
      <c r="AA94" s="114"/>
      <c r="AB94" s="114"/>
      <c r="AC94" s="114"/>
      <c r="AD94" s="114"/>
      <c r="AE94" s="114"/>
      <c r="AF94" s="114"/>
      <c r="AG94" s="114"/>
      <c r="AH94" s="114"/>
      <c r="AI94" s="114"/>
      <c r="AJ94" s="114"/>
      <c r="AK94" s="114"/>
      <c r="AL94" s="114"/>
      <c r="AM94" s="114"/>
      <c r="AN94" s="114"/>
      <c r="AO94" s="114"/>
      <c r="AP94" s="114"/>
      <c r="AQ94" s="114"/>
      <c r="AR94" s="114"/>
      <c r="AS94" s="114"/>
      <c r="AT94" s="114"/>
      <c r="AU94" s="114"/>
      <c r="AV94" s="114"/>
      <c r="AW94" s="114"/>
      <c r="AX94" s="114"/>
      <c r="AY94" s="114"/>
    </row>
    <row r="95" spans="1:51" x14ac:dyDescent="0.3">
      <c r="A95" s="114"/>
      <c r="B95" s="114"/>
      <c r="C95" s="114"/>
      <c r="D95" s="114"/>
      <c r="E95" s="114"/>
      <c r="F95" s="114"/>
      <c r="G95" s="114"/>
      <c r="H95" s="114"/>
      <c r="I95" s="114"/>
      <c r="J95" s="114"/>
      <c r="K95" s="114"/>
      <c r="L95" s="114"/>
      <c r="M95" s="114"/>
      <c r="N95" s="114"/>
      <c r="O95" s="114"/>
      <c r="P95" s="114"/>
      <c r="Q95" s="114"/>
      <c r="R95" s="114"/>
      <c r="S95" s="114"/>
      <c r="T95" s="114"/>
      <c r="U95" s="114"/>
      <c r="V95" s="114"/>
      <c r="W95" s="114"/>
      <c r="X95" s="114"/>
      <c r="Y95" s="114"/>
      <c r="Z95" s="114"/>
      <c r="AA95" s="114"/>
      <c r="AB95" s="114"/>
      <c r="AC95" s="114"/>
      <c r="AD95" s="114"/>
      <c r="AE95" s="114"/>
      <c r="AF95" s="114"/>
      <c r="AG95" s="114"/>
      <c r="AH95" s="114"/>
      <c r="AI95" s="114"/>
      <c r="AJ95" s="114"/>
      <c r="AK95" s="114"/>
      <c r="AL95" s="114"/>
      <c r="AM95" s="114"/>
      <c r="AN95" s="114"/>
      <c r="AO95" s="114"/>
      <c r="AP95" s="114"/>
      <c r="AQ95" s="114"/>
      <c r="AR95" s="114"/>
      <c r="AS95" s="114"/>
      <c r="AT95" s="114"/>
      <c r="AU95" s="114"/>
      <c r="AV95" s="114"/>
      <c r="AW95" s="114"/>
      <c r="AX95" s="114"/>
      <c r="AY95" s="114"/>
    </row>
    <row r="96" spans="1:51" x14ac:dyDescent="0.3">
      <c r="A96" s="114"/>
      <c r="B96" s="114"/>
      <c r="C96" s="114"/>
      <c r="D96" s="114"/>
      <c r="E96" s="114"/>
      <c r="F96" s="114"/>
      <c r="G96" s="114"/>
      <c r="H96" s="114"/>
      <c r="I96" s="114"/>
      <c r="J96" s="114"/>
      <c r="K96" s="114"/>
      <c r="L96" s="114"/>
      <c r="M96" s="114"/>
      <c r="N96" s="114"/>
      <c r="O96" s="114"/>
      <c r="P96" s="114"/>
      <c r="Q96" s="114"/>
      <c r="R96" s="114"/>
      <c r="S96" s="114"/>
      <c r="T96" s="114"/>
      <c r="U96" s="114"/>
      <c r="V96" s="114"/>
      <c r="W96" s="114"/>
      <c r="X96" s="114"/>
      <c r="Y96" s="114"/>
      <c r="Z96" s="114"/>
      <c r="AA96" s="114"/>
      <c r="AB96" s="114"/>
      <c r="AC96" s="114"/>
      <c r="AD96" s="114"/>
      <c r="AE96" s="114"/>
      <c r="AF96" s="114"/>
      <c r="AG96" s="114"/>
      <c r="AH96" s="114"/>
      <c r="AI96" s="114"/>
      <c r="AJ96" s="114"/>
      <c r="AK96" s="114"/>
      <c r="AL96" s="114"/>
      <c r="AM96" s="114"/>
      <c r="AN96" s="114"/>
      <c r="AO96" s="114"/>
      <c r="AP96" s="114"/>
      <c r="AQ96" s="114"/>
      <c r="AR96" s="114"/>
      <c r="AS96" s="114"/>
      <c r="AT96" s="114"/>
      <c r="AU96" s="114"/>
      <c r="AV96" s="114"/>
      <c r="AW96" s="114"/>
      <c r="AX96" s="114"/>
      <c r="AY96" s="114"/>
    </row>
    <row r="97" spans="1:51" x14ac:dyDescent="0.3">
      <c r="A97" s="114"/>
      <c r="B97" s="114"/>
      <c r="C97" s="114"/>
      <c r="D97" s="114"/>
      <c r="E97" s="114"/>
      <c r="F97" s="114"/>
      <c r="G97" s="114"/>
      <c r="H97" s="114"/>
      <c r="I97" s="114"/>
      <c r="J97" s="114"/>
      <c r="K97" s="114"/>
      <c r="L97" s="114"/>
      <c r="M97" s="114"/>
      <c r="N97" s="114"/>
      <c r="O97" s="114"/>
      <c r="P97" s="114"/>
      <c r="Q97" s="114"/>
      <c r="R97" s="114"/>
      <c r="S97" s="114"/>
      <c r="T97" s="114"/>
      <c r="U97" s="114"/>
      <c r="V97" s="114"/>
      <c r="W97" s="114"/>
      <c r="X97" s="114"/>
      <c r="Y97" s="114"/>
      <c r="Z97" s="114"/>
      <c r="AA97" s="114"/>
      <c r="AB97" s="114"/>
      <c r="AC97" s="114"/>
      <c r="AD97" s="114"/>
      <c r="AE97" s="114"/>
      <c r="AF97" s="114"/>
      <c r="AG97" s="114"/>
      <c r="AH97" s="114"/>
      <c r="AI97" s="114"/>
      <c r="AJ97" s="114"/>
      <c r="AK97" s="114"/>
      <c r="AL97" s="114"/>
      <c r="AM97" s="114"/>
      <c r="AN97" s="114"/>
      <c r="AO97" s="114"/>
      <c r="AP97" s="114"/>
      <c r="AQ97" s="114"/>
      <c r="AR97" s="114"/>
      <c r="AS97" s="114"/>
      <c r="AT97" s="114"/>
      <c r="AU97" s="114"/>
      <c r="AV97" s="114"/>
      <c r="AW97" s="114"/>
      <c r="AX97" s="114"/>
      <c r="AY97" s="114"/>
    </row>
    <row r="98" spans="1:51" x14ac:dyDescent="0.3">
      <c r="A98" s="114"/>
      <c r="B98" s="114"/>
      <c r="C98" s="114"/>
      <c r="D98" s="114"/>
      <c r="E98" s="114"/>
      <c r="F98" s="114"/>
      <c r="G98" s="114"/>
      <c r="H98" s="114"/>
      <c r="I98" s="114"/>
      <c r="J98" s="114"/>
      <c r="K98" s="114"/>
      <c r="L98" s="114"/>
      <c r="M98" s="114"/>
      <c r="N98" s="114"/>
      <c r="O98" s="114"/>
      <c r="P98" s="114"/>
      <c r="Q98" s="114"/>
      <c r="R98" s="114"/>
      <c r="S98" s="114"/>
      <c r="T98" s="114"/>
      <c r="U98" s="114"/>
      <c r="V98" s="114"/>
      <c r="W98" s="114"/>
      <c r="X98" s="114"/>
      <c r="Y98" s="114"/>
      <c r="Z98" s="114"/>
      <c r="AA98" s="114"/>
      <c r="AB98" s="114"/>
      <c r="AC98" s="114"/>
      <c r="AD98" s="114"/>
      <c r="AE98" s="114"/>
      <c r="AF98" s="114"/>
      <c r="AG98" s="114"/>
      <c r="AH98" s="114"/>
      <c r="AI98" s="114"/>
      <c r="AJ98" s="114"/>
      <c r="AK98" s="114"/>
      <c r="AL98" s="114"/>
      <c r="AM98" s="114"/>
      <c r="AN98" s="114"/>
      <c r="AO98" s="114"/>
      <c r="AP98" s="114"/>
      <c r="AQ98" s="114"/>
      <c r="AR98" s="114"/>
      <c r="AS98" s="114"/>
      <c r="AT98" s="114"/>
      <c r="AU98" s="114"/>
      <c r="AV98" s="114"/>
      <c r="AW98" s="114"/>
      <c r="AX98" s="114"/>
      <c r="AY98" s="114"/>
    </row>
    <row r="99" spans="1:51" x14ac:dyDescent="0.3">
      <c r="A99" s="114"/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Z99" s="114"/>
      <c r="AA99" s="114"/>
      <c r="AB99" s="114"/>
      <c r="AC99" s="114"/>
      <c r="AD99" s="114"/>
      <c r="AE99" s="114"/>
      <c r="AF99" s="114"/>
      <c r="AG99" s="114"/>
      <c r="AH99" s="114"/>
      <c r="AI99" s="114"/>
      <c r="AJ99" s="114"/>
      <c r="AK99" s="114"/>
      <c r="AL99" s="114"/>
      <c r="AM99" s="114"/>
      <c r="AN99" s="114"/>
      <c r="AO99" s="114"/>
      <c r="AP99" s="114"/>
      <c r="AQ99" s="114"/>
      <c r="AR99" s="114"/>
      <c r="AS99" s="114"/>
      <c r="AT99" s="114"/>
      <c r="AU99" s="114"/>
      <c r="AV99" s="114"/>
      <c r="AW99" s="114"/>
      <c r="AX99" s="114"/>
      <c r="AY99" s="114"/>
    </row>
    <row r="100" spans="1:51" x14ac:dyDescent="0.3">
      <c r="A100" s="114"/>
      <c r="B100" s="114"/>
      <c r="C100" s="114"/>
      <c r="D100" s="114"/>
      <c r="E100" s="114"/>
      <c r="F100" s="114"/>
      <c r="G100" s="114"/>
      <c r="H100" s="114"/>
      <c r="I100" s="114"/>
      <c r="J100" s="114"/>
      <c r="K100" s="114"/>
      <c r="L100" s="114"/>
      <c r="M100" s="114"/>
      <c r="N100" s="114"/>
      <c r="O100" s="114"/>
      <c r="P100" s="114"/>
      <c r="Q100" s="114"/>
      <c r="R100" s="114"/>
      <c r="S100" s="114"/>
      <c r="T100" s="114"/>
      <c r="U100" s="114"/>
      <c r="V100" s="114"/>
      <c r="W100" s="114"/>
      <c r="X100" s="114"/>
      <c r="Y100" s="114"/>
      <c r="Z100" s="114"/>
      <c r="AA100" s="114"/>
      <c r="AB100" s="114"/>
      <c r="AC100" s="114"/>
      <c r="AD100" s="114"/>
      <c r="AE100" s="114"/>
      <c r="AF100" s="114"/>
      <c r="AG100" s="114"/>
      <c r="AH100" s="114"/>
      <c r="AI100" s="114"/>
      <c r="AJ100" s="114"/>
      <c r="AK100" s="114"/>
      <c r="AL100" s="114"/>
      <c r="AM100" s="114"/>
      <c r="AN100" s="114"/>
      <c r="AO100" s="114"/>
      <c r="AP100" s="114"/>
      <c r="AQ100" s="114"/>
      <c r="AR100" s="114"/>
      <c r="AS100" s="114"/>
      <c r="AT100" s="114"/>
      <c r="AU100" s="114"/>
      <c r="AV100" s="114"/>
      <c r="AW100" s="114"/>
      <c r="AX100" s="114"/>
      <c r="AY100" s="114"/>
    </row>
    <row r="101" spans="1:51" x14ac:dyDescent="0.3">
      <c r="A101" s="114"/>
      <c r="B101" s="114"/>
      <c r="C101" s="114"/>
      <c r="D101" s="114"/>
      <c r="E101" s="114"/>
      <c r="F101" s="114"/>
      <c r="G101" s="114"/>
      <c r="H101" s="114"/>
      <c r="I101" s="114"/>
      <c r="J101" s="114"/>
      <c r="K101" s="114"/>
      <c r="L101" s="114"/>
      <c r="M101" s="114"/>
      <c r="N101" s="114"/>
      <c r="O101" s="114"/>
      <c r="P101" s="114"/>
      <c r="Q101" s="114"/>
      <c r="R101" s="114"/>
      <c r="S101" s="114"/>
      <c r="T101" s="114"/>
      <c r="U101" s="114"/>
      <c r="V101" s="114"/>
      <c r="W101" s="114"/>
      <c r="X101" s="114"/>
      <c r="Y101" s="114"/>
      <c r="Z101" s="114"/>
      <c r="AA101" s="114"/>
      <c r="AB101" s="114"/>
      <c r="AC101" s="114"/>
      <c r="AD101" s="114"/>
      <c r="AE101" s="114"/>
      <c r="AF101" s="114"/>
      <c r="AG101" s="114"/>
      <c r="AH101" s="114"/>
      <c r="AI101" s="114"/>
      <c r="AJ101" s="114"/>
      <c r="AK101" s="114"/>
      <c r="AL101" s="114"/>
      <c r="AM101" s="114"/>
      <c r="AN101" s="114"/>
      <c r="AO101" s="114"/>
      <c r="AP101" s="114"/>
      <c r="AQ101" s="114"/>
      <c r="AR101" s="114"/>
      <c r="AS101" s="114"/>
      <c r="AT101" s="114"/>
      <c r="AU101" s="114"/>
      <c r="AV101" s="114"/>
      <c r="AW101" s="114"/>
      <c r="AX101" s="114"/>
      <c r="AY101" s="114"/>
    </row>
    <row r="102" spans="1:51" x14ac:dyDescent="0.3">
      <c r="A102" s="114"/>
      <c r="B102" s="114"/>
      <c r="C102" s="114"/>
      <c r="D102" s="114"/>
      <c r="E102" s="114"/>
      <c r="F102" s="114"/>
      <c r="G102" s="114"/>
      <c r="H102" s="114"/>
      <c r="I102" s="114"/>
      <c r="J102" s="114"/>
      <c r="K102" s="114"/>
      <c r="L102" s="114"/>
      <c r="M102" s="114"/>
      <c r="N102" s="114"/>
      <c r="O102" s="114"/>
      <c r="P102" s="114"/>
      <c r="Q102" s="114"/>
      <c r="R102" s="114"/>
      <c r="S102" s="114"/>
      <c r="T102" s="114"/>
      <c r="U102" s="114"/>
      <c r="V102" s="114"/>
      <c r="W102" s="114"/>
      <c r="X102" s="114"/>
      <c r="Y102" s="114"/>
      <c r="Z102" s="114"/>
      <c r="AA102" s="114"/>
      <c r="AB102" s="114"/>
      <c r="AC102" s="114"/>
      <c r="AD102" s="114"/>
      <c r="AE102" s="114"/>
      <c r="AF102" s="114"/>
      <c r="AG102" s="114"/>
      <c r="AH102" s="114"/>
      <c r="AI102" s="114"/>
      <c r="AJ102" s="114"/>
      <c r="AK102" s="114"/>
      <c r="AL102" s="114"/>
      <c r="AM102" s="114"/>
      <c r="AN102" s="114"/>
      <c r="AO102" s="114"/>
      <c r="AP102" s="114"/>
      <c r="AQ102" s="114"/>
      <c r="AR102" s="114"/>
      <c r="AS102" s="114"/>
      <c r="AT102" s="114"/>
      <c r="AU102" s="114"/>
      <c r="AV102" s="114"/>
      <c r="AW102" s="114"/>
      <c r="AX102" s="114"/>
      <c r="AY102" s="114"/>
    </row>
    <row r="103" spans="1:51" x14ac:dyDescent="0.3">
      <c r="A103" s="114"/>
      <c r="B103" s="114"/>
      <c r="C103" s="114"/>
      <c r="D103" s="114"/>
      <c r="E103" s="114"/>
      <c r="F103" s="114"/>
      <c r="G103" s="114"/>
      <c r="H103" s="114"/>
      <c r="I103" s="114"/>
      <c r="J103" s="114"/>
      <c r="K103" s="114"/>
      <c r="L103" s="114"/>
      <c r="M103" s="114"/>
      <c r="N103" s="114"/>
      <c r="O103" s="114"/>
      <c r="P103" s="114"/>
      <c r="Q103" s="114"/>
      <c r="R103" s="114"/>
      <c r="S103" s="114"/>
      <c r="T103" s="114"/>
      <c r="U103" s="114"/>
      <c r="V103" s="114"/>
      <c r="W103" s="114"/>
      <c r="X103" s="114"/>
      <c r="Y103" s="114"/>
      <c r="Z103" s="114"/>
      <c r="AA103" s="114"/>
      <c r="AB103" s="114"/>
      <c r="AC103" s="114"/>
      <c r="AD103" s="114"/>
      <c r="AE103" s="114"/>
      <c r="AF103" s="114"/>
      <c r="AG103" s="114"/>
      <c r="AH103" s="114"/>
      <c r="AI103" s="114"/>
      <c r="AJ103" s="114"/>
      <c r="AK103" s="114"/>
      <c r="AL103" s="114"/>
      <c r="AM103" s="114"/>
      <c r="AN103" s="114"/>
      <c r="AO103" s="114"/>
      <c r="AP103" s="114"/>
      <c r="AQ103" s="114"/>
      <c r="AR103" s="114"/>
      <c r="AS103" s="114"/>
      <c r="AT103" s="114"/>
      <c r="AU103" s="114"/>
      <c r="AV103" s="114"/>
      <c r="AW103" s="114"/>
      <c r="AX103" s="114"/>
      <c r="AY103" s="114"/>
    </row>
    <row r="104" spans="1:51" x14ac:dyDescent="0.3">
      <c r="A104" s="114"/>
      <c r="B104" s="114"/>
      <c r="C104" s="114"/>
      <c r="D104" s="114"/>
      <c r="E104" s="114"/>
      <c r="F104" s="114"/>
      <c r="G104" s="114"/>
      <c r="H104" s="114"/>
      <c r="I104" s="114"/>
      <c r="J104" s="114"/>
      <c r="K104" s="114"/>
      <c r="L104" s="114"/>
      <c r="M104" s="114"/>
      <c r="N104" s="114"/>
      <c r="O104" s="114"/>
      <c r="P104" s="114"/>
      <c r="Q104" s="114"/>
      <c r="R104" s="114"/>
      <c r="S104" s="114"/>
      <c r="T104" s="114"/>
      <c r="U104" s="114"/>
      <c r="V104" s="114"/>
      <c r="W104" s="114"/>
      <c r="X104" s="114"/>
      <c r="Y104" s="114"/>
      <c r="Z104" s="114"/>
      <c r="AA104" s="114"/>
      <c r="AB104" s="114"/>
      <c r="AC104" s="114"/>
      <c r="AD104" s="114"/>
      <c r="AE104" s="114"/>
      <c r="AF104" s="114"/>
      <c r="AG104" s="114"/>
      <c r="AH104" s="114"/>
      <c r="AI104" s="114"/>
      <c r="AJ104" s="114"/>
      <c r="AK104" s="114"/>
      <c r="AL104" s="114"/>
      <c r="AM104" s="114"/>
      <c r="AN104" s="114"/>
      <c r="AO104" s="114"/>
      <c r="AP104" s="114"/>
      <c r="AQ104" s="114"/>
      <c r="AR104" s="114"/>
      <c r="AS104" s="114"/>
      <c r="AT104" s="114"/>
      <c r="AU104" s="114"/>
      <c r="AV104" s="114"/>
      <c r="AW104" s="114"/>
      <c r="AX104" s="114"/>
      <c r="AY104" s="114"/>
    </row>
    <row r="105" spans="1:51" x14ac:dyDescent="0.3">
      <c r="A105" s="114"/>
      <c r="B105" s="114"/>
      <c r="C105" s="114"/>
      <c r="D105" s="114"/>
      <c r="E105" s="114"/>
      <c r="F105" s="114"/>
      <c r="G105" s="114"/>
      <c r="H105" s="114"/>
      <c r="I105" s="114"/>
      <c r="J105" s="114"/>
      <c r="K105" s="114"/>
      <c r="L105" s="114"/>
      <c r="M105" s="114"/>
      <c r="N105" s="114"/>
      <c r="O105" s="114"/>
      <c r="P105" s="114"/>
      <c r="Q105" s="114"/>
      <c r="R105" s="114"/>
      <c r="S105" s="114"/>
      <c r="T105" s="114"/>
      <c r="U105" s="114"/>
      <c r="V105" s="114"/>
      <c r="W105" s="114"/>
      <c r="X105" s="114"/>
      <c r="Y105" s="114"/>
      <c r="Z105" s="114"/>
      <c r="AA105" s="114"/>
      <c r="AB105" s="114"/>
      <c r="AC105" s="114"/>
      <c r="AD105" s="114"/>
      <c r="AE105" s="114"/>
      <c r="AF105" s="114"/>
      <c r="AG105" s="114"/>
      <c r="AH105" s="114"/>
      <c r="AI105" s="114"/>
      <c r="AJ105" s="114"/>
      <c r="AK105" s="114"/>
      <c r="AL105" s="114"/>
      <c r="AM105" s="114"/>
      <c r="AN105" s="114"/>
      <c r="AO105" s="114"/>
      <c r="AP105" s="114"/>
      <c r="AQ105" s="114"/>
      <c r="AR105" s="114"/>
      <c r="AS105" s="114"/>
      <c r="AT105" s="114"/>
      <c r="AU105" s="114"/>
      <c r="AV105" s="114"/>
      <c r="AW105" s="114"/>
      <c r="AX105" s="114"/>
      <c r="AY105" s="114"/>
    </row>
    <row r="106" spans="1:51" x14ac:dyDescent="0.3">
      <c r="A106" s="114"/>
      <c r="B106" s="114"/>
      <c r="C106" s="114"/>
      <c r="D106" s="114"/>
      <c r="E106" s="114"/>
      <c r="F106" s="114"/>
      <c r="G106" s="114"/>
      <c r="H106" s="114"/>
      <c r="I106" s="114"/>
      <c r="J106" s="114"/>
      <c r="K106" s="114"/>
      <c r="L106" s="114"/>
      <c r="M106" s="114"/>
      <c r="N106" s="114"/>
      <c r="O106" s="114"/>
      <c r="P106" s="114"/>
      <c r="Q106" s="114"/>
      <c r="R106" s="114"/>
      <c r="S106" s="114"/>
      <c r="T106" s="114"/>
      <c r="U106" s="114"/>
      <c r="V106" s="114"/>
      <c r="W106" s="114"/>
      <c r="X106" s="114"/>
      <c r="Y106" s="114"/>
      <c r="Z106" s="114"/>
      <c r="AA106" s="114"/>
      <c r="AB106" s="114"/>
      <c r="AC106" s="114"/>
      <c r="AD106" s="114"/>
      <c r="AE106" s="114"/>
      <c r="AF106" s="114"/>
      <c r="AG106" s="114"/>
      <c r="AH106" s="114"/>
      <c r="AI106" s="114"/>
      <c r="AJ106" s="114"/>
      <c r="AK106" s="114"/>
      <c r="AL106" s="114"/>
      <c r="AM106" s="114"/>
      <c r="AN106" s="114"/>
      <c r="AO106" s="114"/>
      <c r="AP106" s="114"/>
      <c r="AQ106" s="114"/>
      <c r="AR106" s="114"/>
      <c r="AS106" s="114"/>
      <c r="AT106" s="114"/>
      <c r="AU106" s="114"/>
      <c r="AV106" s="114"/>
      <c r="AW106" s="114"/>
      <c r="AX106" s="114"/>
      <c r="AY106" s="114"/>
    </row>
    <row r="107" spans="1:51" x14ac:dyDescent="0.3">
      <c r="A107" s="114"/>
      <c r="B107" s="114"/>
      <c r="C107" s="114"/>
      <c r="D107" s="114"/>
      <c r="E107" s="114"/>
      <c r="F107" s="114"/>
      <c r="G107" s="114"/>
      <c r="H107" s="114"/>
      <c r="I107" s="114"/>
      <c r="J107" s="114"/>
      <c r="K107" s="114"/>
      <c r="L107" s="114"/>
      <c r="M107" s="114"/>
      <c r="N107" s="114"/>
      <c r="O107" s="114"/>
      <c r="P107" s="114"/>
      <c r="Q107" s="114"/>
      <c r="R107" s="114"/>
      <c r="S107" s="114"/>
      <c r="T107" s="114"/>
      <c r="U107" s="114"/>
      <c r="V107" s="114"/>
      <c r="W107" s="114"/>
      <c r="X107" s="114"/>
      <c r="Y107" s="114"/>
      <c r="Z107" s="114"/>
      <c r="AA107" s="114"/>
      <c r="AB107" s="114"/>
      <c r="AC107" s="114"/>
      <c r="AD107" s="114"/>
      <c r="AE107" s="114"/>
      <c r="AF107" s="114"/>
      <c r="AG107" s="114"/>
      <c r="AH107" s="114"/>
      <c r="AI107" s="114"/>
      <c r="AJ107" s="114"/>
      <c r="AK107" s="114"/>
      <c r="AL107" s="114"/>
      <c r="AM107" s="114"/>
      <c r="AN107" s="114"/>
      <c r="AO107" s="114"/>
      <c r="AP107" s="114"/>
      <c r="AQ107" s="114"/>
      <c r="AR107" s="114"/>
      <c r="AS107" s="114"/>
      <c r="AT107" s="114"/>
      <c r="AU107" s="114"/>
      <c r="AV107" s="114"/>
      <c r="AW107" s="114"/>
      <c r="AX107" s="114"/>
      <c r="AY107" s="114"/>
    </row>
    <row r="108" spans="1:51" x14ac:dyDescent="0.3">
      <c r="A108" s="114"/>
      <c r="B108" s="114"/>
      <c r="C108" s="114"/>
      <c r="D108" s="114"/>
      <c r="E108" s="114"/>
      <c r="F108" s="114"/>
      <c r="G108" s="114"/>
      <c r="H108" s="114"/>
      <c r="I108" s="114"/>
      <c r="J108" s="114"/>
      <c r="K108" s="114"/>
      <c r="L108" s="114"/>
      <c r="M108" s="114"/>
      <c r="N108" s="114"/>
      <c r="O108" s="114"/>
      <c r="P108" s="114"/>
      <c r="Q108" s="114"/>
      <c r="R108" s="114"/>
      <c r="S108" s="114"/>
      <c r="T108" s="114"/>
      <c r="U108" s="114"/>
      <c r="V108" s="114"/>
      <c r="W108" s="114"/>
      <c r="X108" s="114"/>
      <c r="Y108" s="114"/>
      <c r="Z108" s="114"/>
      <c r="AA108" s="114"/>
      <c r="AB108" s="114"/>
      <c r="AC108" s="114"/>
      <c r="AD108" s="114"/>
      <c r="AE108" s="114"/>
      <c r="AF108" s="114"/>
      <c r="AG108" s="114"/>
      <c r="AH108" s="114"/>
      <c r="AI108" s="114"/>
      <c r="AJ108" s="114"/>
      <c r="AK108" s="114"/>
      <c r="AL108" s="114"/>
      <c r="AM108" s="114"/>
      <c r="AN108" s="114"/>
      <c r="AO108" s="114"/>
      <c r="AP108" s="114"/>
      <c r="AQ108" s="114"/>
      <c r="AR108" s="114"/>
      <c r="AS108" s="114"/>
      <c r="AT108" s="114"/>
      <c r="AU108" s="114"/>
      <c r="AV108" s="114"/>
      <c r="AW108" s="114"/>
      <c r="AX108" s="114"/>
      <c r="AY108" s="114"/>
    </row>
    <row r="109" spans="1:51" x14ac:dyDescent="0.3">
      <c r="A109" s="114"/>
      <c r="B109" s="114"/>
      <c r="C109" s="114"/>
      <c r="D109" s="114"/>
      <c r="E109" s="114"/>
      <c r="F109" s="114"/>
      <c r="G109" s="114"/>
      <c r="H109" s="114"/>
      <c r="I109" s="114"/>
      <c r="J109" s="114"/>
      <c r="K109" s="114"/>
      <c r="L109" s="114"/>
      <c r="M109" s="114"/>
      <c r="N109" s="114"/>
      <c r="O109" s="114"/>
      <c r="P109" s="114"/>
      <c r="Q109" s="114"/>
      <c r="R109" s="114"/>
      <c r="S109" s="114"/>
      <c r="T109" s="114"/>
      <c r="U109" s="114"/>
      <c r="V109" s="114"/>
      <c r="W109" s="114"/>
      <c r="X109" s="114"/>
      <c r="Y109" s="114"/>
      <c r="Z109" s="114"/>
      <c r="AA109" s="114"/>
      <c r="AB109" s="114"/>
      <c r="AC109" s="114"/>
      <c r="AD109" s="114"/>
      <c r="AE109" s="114"/>
      <c r="AF109" s="114"/>
      <c r="AG109" s="114"/>
      <c r="AH109" s="114"/>
      <c r="AI109" s="114"/>
      <c r="AJ109" s="114"/>
      <c r="AK109" s="114"/>
      <c r="AL109" s="114"/>
      <c r="AM109" s="114"/>
      <c r="AN109" s="114"/>
      <c r="AO109" s="114"/>
      <c r="AP109" s="114"/>
      <c r="AQ109" s="114"/>
      <c r="AR109" s="114"/>
      <c r="AS109" s="114"/>
      <c r="AT109" s="114"/>
      <c r="AU109" s="114"/>
      <c r="AV109" s="114"/>
      <c r="AW109" s="114"/>
      <c r="AX109" s="114"/>
      <c r="AY109" s="114"/>
    </row>
    <row r="110" spans="1:51" x14ac:dyDescent="0.3">
      <c r="A110" s="114"/>
      <c r="B110" s="114"/>
      <c r="C110" s="114"/>
      <c r="D110" s="114"/>
      <c r="E110" s="114"/>
      <c r="F110" s="114"/>
      <c r="G110" s="114"/>
      <c r="H110" s="114"/>
      <c r="I110" s="114"/>
      <c r="J110" s="114"/>
      <c r="K110" s="114"/>
      <c r="L110" s="114"/>
      <c r="M110" s="114"/>
      <c r="N110" s="114"/>
      <c r="O110" s="114"/>
      <c r="P110" s="114"/>
      <c r="Q110" s="114"/>
      <c r="R110" s="114"/>
      <c r="S110" s="114"/>
      <c r="T110" s="114"/>
      <c r="U110" s="114"/>
      <c r="V110" s="114"/>
      <c r="W110" s="114"/>
      <c r="X110" s="114"/>
      <c r="Y110" s="114"/>
      <c r="Z110" s="114"/>
      <c r="AA110" s="114"/>
      <c r="AB110" s="114"/>
      <c r="AC110" s="114"/>
      <c r="AD110" s="114"/>
      <c r="AE110" s="114"/>
      <c r="AF110" s="114"/>
      <c r="AG110" s="114"/>
      <c r="AH110" s="114"/>
      <c r="AI110" s="114"/>
      <c r="AJ110" s="114"/>
      <c r="AK110" s="114"/>
      <c r="AL110" s="114"/>
      <c r="AM110" s="114"/>
      <c r="AN110" s="114"/>
      <c r="AO110" s="114"/>
      <c r="AP110" s="114"/>
      <c r="AQ110" s="114"/>
      <c r="AR110" s="114"/>
      <c r="AS110" s="114"/>
      <c r="AT110" s="114"/>
      <c r="AU110" s="114"/>
      <c r="AV110" s="114"/>
      <c r="AW110" s="114"/>
      <c r="AX110" s="114"/>
      <c r="AY110" s="114"/>
    </row>
    <row r="111" spans="1:51" x14ac:dyDescent="0.3">
      <c r="A111" s="114"/>
      <c r="B111" s="114"/>
      <c r="C111" s="114"/>
      <c r="D111" s="114"/>
      <c r="E111" s="114"/>
      <c r="F111" s="114"/>
      <c r="G111" s="114"/>
      <c r="H111" s="114"/>
      <c r="I111" s="114"/>
      <c r="J111" s="114"/>
      <c r="K111" s="114"/>
      <c r="L111" s="114"/>
      <c r="M111" s="114"/>
      <c r="N111" s="114"/>
      <c r="O111" s="114"/>
      <c r="P111" s="114"/>
      <c r="Q111" s="114"/>
      <c r="R111" s="114"/>
      <c r="S111" s="114"/>
      <c r="T111" s="114"/>
      <c r="U111" s="114"/>
      <c r="V111" s="114"/>
      <c r="W111" s="114"/>
      <c r="X111" s="114"/>
      <c r="Y111" s="114"/>
      <c r="Z111" s="114"/>
      <c r="AA111" s="114"/>
      <c r="AB111" s="114"/>
      <c r="AC111" s="114"/>
      <c r="AD111" s="114"/>
      <c r="AE111" s="114"/>
      <c r="AF111" s="114"/>
      <c r="AG111" s="114"/>
      <c r="AH111" s="114"/>
      <c r="AI111" s="114"/>
      <c r="AJ111" s="114"/>
      <c r="AK111" s="114"/>
      <c r="AL111" s="114"/>
      <c r="AM111" s="114"/>
      <c r="AN111" s="114"/>
      <c r="AO111" s="114"/>
      <c r="AP111" s="114"/>
      <c r="AQ111" s="114"/>
      <c r="AR111" s="114"/>
      <c r="AS111" s="114"/>
      <c r="AT111" s="114"/>
      <c r="AU111" s="114"/>
      <c r="AV111" s="114"/>
      <c r="AW111" s="114"/>
      <c r="AX111" s="114"/>
      <c r="AY111" s="114"/>
    </row>
    <row r="112" spans="1:51" x14ac:dyDescent="0.3">
      <c r="A112" s="114"/>
      <c r="B112" s="114"/>
      <c r="C112" s="114"/>
      <c r="D112" s="114"/>
      <c r="E112" s="114"/>
      <c r="F112" s="114"/>
      <c r="G112" s="114"/>
      <c r="H112" s="114"/>
      <c r="I112" s="114"/>
      <c r="J112" s="114"/>
      <c r="K112" s="114"/>
      <c r="L112" s="114"/>
      <c r="M112" s="114"/>
      <c r="N112" s="114"/>
      <c r="O112" s="114"/>
      <c r="P112" s="114"/>
      <c r="Q112" s="114"/>
      <c r="R112" s="114"/>
      <c r="S112" s="114"/>
      <c r="T112" s="114"/>
      <c r="U112" s="114"/>
      <c r="V112" s="114"/>
      <c r="W112" s="114"/>
      <c r="X112" s="114"/>
      <c r="Y112" s="114"/>
      <c r="Z112" s="114"/>
      <c r="AA112" s="114"/>
      <c r="AB112" s="114"/>
      <c r="AC112" s="114"/>
      <c r="AD112" s="114"/>
      <c r="AE112" s="114"/>
      <c r="AF112" s="114"/>
      <c r="AG112" s="114"/>
      <c r="AH112" s="114"/>
      <c r="AI112" s="114"/>
      <c r="AJ112" s="114"/>
      <c r="AK112" s="114"/>
      <c r="AL112" s="114"/>
      <c r="AM112" s="114"/>
      <c r="AN112" s="114"/>
      <c r="AO112" s="114"/>
      <c r="AP112" s="114"/>
      <c r="AQ112" s="114"/>
      <c r="AR112" s="114"/>
      <c r="AS112" s="114"/>
      <c r="AT112" s="114"/>
      <c r="AU112" s="114"/>
      <c r="AV112" s="114"/>
      <c r="AW112" s="114"/>
      <c r="AX112" s="114"/>
      <c r="AY112" s="114"/>
    </row>
    <row r="113" spans="1:51" x14ac:dyDescent="0.3">
      <c r="A113" s="114"/>
      <c r="B113" s="114"/>
      <c r="C113" s="114"/>
      <c r="D113" s="114"/>
      <c r="E113" s="114"/>
      <c r="F113" s="114"/>
      <c r="G113" s="114"/>
      <c r="H113" s="114"/>
      <c r="I113" s="114"/>
      <c r="J113" s="114"/>
      <c r="K113" s="114"/>
      <c r="L113" s="114"/>
      <c r="M113" s="114"/>
      <c r="N113" s="114"/>
      <c r="O113" s="114"/>
      <c r="P113" s="114"/>
      <c r="Q113" s="114"/>
      <c r="R113" s="114"/>
      <c r="S113" s="114"/>
      <c r="T113" s="114"/>
      <c r="U113" s="114"/>
      <c r="V113" s="114"/>
      <c r="W113" s="114"/>
      <c r="X113" s="114"/>
      <c r="Y113" s="114"/>
      <c r="Z113" s="114"/>
      <c r="AA113" s="114"/>
      <c r="AB113" s="114"/>
      <c r="AC113" s="114"/>
      <c r="AD113" s="114"/>
      <c r="AE113" s="114"/>
      <c r="AF113" s="114"/>
      <c r="AG113" s="114"/>
      <c r="AH113" s="114"/>
      <c r="AI113" s="114"/>
      <c r="AJ113" s="114"/>
      <c r="AK113" s="114"/>
      <c r="AL113" s="114"/>
      <c r="AM113" s="114"/>
      <c r="AN113" s="114"/>
      <c r="AO113" s="114"/>
      <c r="AP113" s="114"/>
      <c r="AQ113" s="114"/>
      <c r="AR113" s="114"/>
      <c r="AS113" s="114"/>
      <c r="AT113" s="114"/>
      <c r="AU113" s="114"/>
      <c r="AV113" s="114"/>
      <c r="AW113" s="114"/>
      <c r="AX113" s="114"/>
      <c r="AY113" s="114"/>
    </row>
    <row r="114" spans="1:51" x14ac:dyDescent="0.3">
      <c r="A114" s="114"/>
      <c r="B114" s="114"/>
      <c r="C114" s="114"/>
      <c r="D114" s="114"/>
      <c r="E114" s="114"/>
      <c r="F114" s="114"/>
      <c r="G114" s="114"/>
      <c r="H114" s="114"/>
      <c r="I114" s="114"/>
      <c r="J114" s="114"/>
      <c r="K114" s="114"/>
      <c r="L114" s="114"/>
      <c r="M114" s="114"/>
      <c r="N114" s="114"/>
      <c r="O114" s="114"/>
      <c r="P114" s="114"/>
      <c r="Q114" s="114"/>
      <c r="R114" s="114"/>
      <c r="S114" s="114"/>
      <c r="T114" s="114"/>
      <c r="U114" s="114"/>
      <c r="V114" s="114"/>
      <c r="W114" s="114"/>
      <c r="X114" s="114"/>
      <c r="Y114" s="114"/>
      <c r="Z114" s="114"/>
      <c r="AA114" s="114"/>
      <c r="AB114" s="114"/>
      <c r="AC114" s="114"/>
      <c r="AD114" s="114"/>
      <c r="AE114" s="114"/>
      <c r="AF114" s="114"/>
      <c r="AG114" s="114"/>
      <c r="AH114" s="114"/>
      <c r="AI114" s="114"/>
      <c r="AJ114" s="114"/>
      <c r="AK114" s="114"/>
      <c r="AL114" s="114"/>
      <c r="AM114" s="114"/>
      <c r="AN114" s="114"/>
      <c r="AO114" s="114"/>
      <c r="AP114" s="114"/>
      <c r="AQ114" s="114"/>
      <c r="AR114" s="114"/>
      <c r="AS114" s="114"/>
      <c r="AT114" s="114"/>
      <c r="AU114" s="114"/>
      <c r="AV114" s="114"/>
      <c r="AW114" s="114"/>
      <c r="AX114" s="114"/>
      <c r="AY114" s="114"/>
    </row>
    <row r="115" spans="1:51" x14ac:dyDescent="0.3">
      <c r="A115" s="114"/>
      <c r="B115" s="114"/>
      <c r="C115" s="114"/>
      <c r="D115" s="114"/>
      <c r="E115" s="114"/>
      <c r="F115" s="114"/>
      <c r="G115" s="114"/>
      <c r="H115" s="114"/>
      <c r="I115" s="114"/>
      <c r="J115" s="114"/>
      <c r="K115" s="114"/>
      <c r="L115" s="114"/>
      <c r="M115" s="114"/>
      <c r="N115" s="114"/>
      <c r="O115" s="114"/>
      <c r="P115" s="114"/>
      <c r="Q115" s="114"/>
      <c r="R115" s="114"/>
      <c r="S115" s="114"/>
      <c r="T115" s="114"/>
      <c r="U115" s="114"/>
      <c r="V115" s="114"/>
      <c r="W115" s="114"/>
      <c r="X115" s="114"/>
      <c r="Y115" s="114"/>
      <c r="Z115" s="114"/>
      <c r="AA115" s="114"/>
      <c r="AB115" s="114"/>
      <c r="AC115" s="114"/>
      <c r="AD115" s="114"/>
      <c r="AE115" s="114"/>
      <c r="AF115" s="114"/>
      <c r="AG115" s="114"/>
      <c r="AH115" s="114"/>
      <c r="AI115" s="114"/>
      <c r="AJ115" s="114"/>
      <c r="AK115" s="114"/>
      <c r="AL115" s="114"/>
      <c r="AM115" s="114"/>
      <c r="AN115" s="114"/>
      <c r="AO115" s="114"/>
      <c r="AP115" s="114"/>
      <c r="AQ115" s="114"/>
      <c r="AR115" s="114"/>
      <c r="AS115" s="114"/>
      <c r="AT115" s="114"/>
      <c r="AU115" s="114"/>
      <c r="AV115" s="114"/>
      <c r="AW115" s="114"/>
      <c r="AX115" s="114"/>
      <c r="AY115" s="114"/>
    </row>
    <row r="116" spans="1:51" x14ac:dyDescent="0.3">
      <c r="A116" s="114"/>
      <c r="B116" s="114"/>
      <c r="C116" s="114"/>
      <c r="D116" s="114"/>
      <c r="E116" s="114"/>
      <c r="F116" s="114"/>
      <c r="G116" s="114"/>
      <c r="H116" s="114"/>
      <c r="I116" s="114"/>
      <c r="J116" s="114"/>
      <c r="K116" s="114"/>
      <c r="L116" s="114"/>
      <c r="M116" s="114"/>
      <c r="N116" s="114"/>
      <c r="O116" s="114"/>
      <c r="P116" s="114"/>
      <c r="Q116" s="114"/>
      <c r="R116" s="114"/>
      <c r="S116" s="114"/>
      <c r="T116" s="114"/>
      <c r="U116" s="114"/>
      <c r="V116" s="114"/>
      <c r="W116" s="114"/>
      <c r="X116" s="114"/>
      <c r="Y116" s="114"/>
      <c r="Z116" s="114"/>
      <c r="AA116" s="114"/>
      <c r="AB116" s="114"/>
      <c r="AC116" s="114"/>
      <c r="AD116" s="114"/>
      <c r="AE116" s="114"/>
      <c r="AF116" s="114"/>
      <c r="AG116" s="114"/>
      <c r="AH116" s="114"/>
      <c r="AI116" s="114"/>
      <c r="AJ116" s="114"/>
      <c r="AK116" s="114"/>
      <c r="AL116" s="114"/>
      <c r="AM116" s="114"/>
      <c r="AN116" s="114"/>
      <c r="AO116" s="114"/>
      <c r="AP116" s="114"/>
      <c r="AQ116" s="114"/>
      <c r="AR116" s="114"/>
      <c r="AS116" s="114"/>
      <c r="AT116" s="114"/>
      <c r="AU116" s="114"/>
      <c r="AV116" s="114"/>
      <c r="AW116" s="114"/>
      <c r="AX116" s="114"/>
      <c r="AY116" s="114"/>
    </row>
    <row r="117" spans="1:51" x14ac:dyDescent="0.3">
      <c r="A117" s="114"/>
      <c r="B117" s="114"/>
      <c r="C117" s="114"/>
      <c r="D117" s="114"/>
      <c r="E117" s="114"/>
      <c r="F117" s="114"/>
      <c r="G117" s="114"/>
      <c r="H117" s="114"/>
      <c r="I117" s="114"/>
      <c r="J117" s="114"/>
      <c r="K117" s="114"/>
      <c r="L117" s="114"/>
      <c r="M117" s="114"/>
      <c r="N117" s="114"/>
      <c r="O117" s="114"/>
      <c r="P117" s="114"/>
      <c r="Q117" s="114"/>
      <c r="R117" s="114"/>
      <c r="S117" s="114"/>
      <c r="T117" s="114"/>
      <c r="U117" s="114"/>
      <c r="V117" s="114"/>
      <c r="W117" s="114"/>
      <c r="X117" s="114"/>
      <c r="Y117" s="114"/>
      <c r="Z117" s="114"/>
      <c r="AA117" s="114"/>
      <c r="AB117" s="114"/>
      <c r="AC117" s="114"/>
      <c r="AD117" s="114"/>
      <c r="AE117" s="114"/>
      <c r="AF117" s="114"/>
      <c r="AG117" s="114"/>
      <c r="AH117" s="114"/>
      <c r="AI117" s="114"/>
      <c r="AJ117" s="114"/>
      <c r="AK117" s="114"/>
      <c r="AL117" s="114"/>
      <c r="AM117" s="114"/>
      <c r="AN117" s="114"/>
      <c r="AO117" s="114"/>
      <c r="AP117" s="114"/>
      <c r="AQ117" s="114"/>
      <c r="AR117" s="114"/>
      <c r="AS117" s="114"/>
      <c r="AT117" s="114"/>
      <c r="AU117" s="114"/>
      <c r="AV117" s="114"/>
      <c r="AW117" s="114"/>
      <c r="AX117" s="114"/>
      <c r="AY117" s="114"/>
    </row>
    <row r="118" spans="1:51" x14ac:dyDescent="0.3">
      <c r="A118" s="114"/>
      <c r="B118" s="114"/>
      <c r="C118" s="114"/>
      <c r="D118" s="114"/>
      <c r="E118" s="114"/>
      <c r="F118" s="114"/>
      <c r="G118" s="114"/>
      <c r="H118" s="114"/>
      <c r="I118" s="114"/>
      <c r="J118" s="114"/>
      <c r="K118" s="114"/>
      <c r="L118" s="114"/>
      <c r="M118" s="114"/>
      <c r="N118" s="114"/>
      <c r="O118" s="114"/>
      <c r="P118" s="114"/>
      <c r="Q118" s="114"/>
      <c r="R118" s="114"/>
      <c r="S118" s="114"/>
      <c r="T118" s="114"/>
      <c r="U118" s="114"/>
      <c r="V118" s="114"/>
      <c r="W118" s="114"/>
      <c r="X118" s="114"/>
      <c r="Y118" s="114"/>
      <c r="Z118" s="114"/>
      <c r="AA118" s="114"/>
      <c r="AB118" s="114"/>
      <c r="AC118" s="114"/>
      <c r="AD118" s="114"/>
      <c r="AE118" s="114"/>
      <c r="AF118" s="114"/>
      <c r="AG118" s="114"/>
      <c r="AH118" s="114"/>
      <c r="AI118" s="114"/>
      <c r="AJ118" s="114"/>
      <c r="AK118" s="114"/>
      <c r="AL118" s="114"/>
      <c r="AM118" s="114"/>
      <c r="AN118" s="114"/>
      <c r="AO118" s="114"/>
      <c r="AP118" s="114"/>
      <c r="AQ118" s="114"/>
      <c r="AR118" s="114"/>
      <c r="AS118" s="114"/>
      <c r="AT118" s="114"/>
      <c r="AU118" s="114"/>
      <c r="AV118" s="114"/>
      <c r="AW118" s="114"/>
      <c r="AX118" s="114"/>
      <c r="AY118" s="114"/>
    </row>
    <row r="119" spans="1:51" x14ac:dyDescent="0.3">
      <c r="A119" s="114"/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Z119" s="114"/>
      <c r="AA119" s="114"/>
      <c r="AB119" s="114"/>
      <c r="AC119" s="114"/>
      <c r="AD119" s="114"/>
      <c r="AE119" s="114"/>
      <c r="AF119" s="114"/>
      <c r="AG119" s="114"/>
      <c r="AH119" s="114"/>
      <c r="AI119" s="114"/>
      <c r="AJ119" s="114"/>
      <c r="AK119" s="114"/>
      <c r="AL119" s="114"/>
      <c r="AM119" s="114"/>
      <c r="AN119" s="114"/>
      <c r="AO119" s="114"/>
      <c r="AP119" s="114"/>
      <c r="AQ119" s="114"/>
      <c r="AR119" s="114"/>
      <c r="AS119" s="114"/>
      <c r="AT119" s="114"/>
      <c r="AU119" s="114"/>
      <c r="AV119" s="114"/>
      <c r="AW119" s="114"/>
      <c r="AX119" s="114"/>
      <c r="AY119" s="114"/>
    </row>
    <row r="120" spans="1:51" x14ac:dyDescent="0.3">
      <c r="A120" s="114"/>
      <c r="B120" s="114"/>
      <c r="C120" s="114"/>
      <c r="D120" s="114"/>
      <c r="E120" s="114"/>
      <c r="F120" s="114"/>
      <c r="G120" s="114"/>
      <c r="H120" s="114"/>
      <c r="I120" s="114"/>
      <c r="J120" s="114"/>
      <c r="K120" s="114"/>
      <c r="L120" s="114"/>
      <c r="M120" s="114"/>
      <c r="N120" s="114"/>
      <c r="O120" s="114"/>
      <c r="P120" s="114"/>
      <c r="Q120" s="114"/>
      <c r="R120" s="114"/>
      <c r="S120" s="114"/>
      <c r="T120" s="114"/>
      <c r="U120" s="114"/>
      <c r="V120" s="114"/>
      <c r="W120" s="114"/>
      <c r="X120" s="114"/>
      <c r="Y120" s="114"/>
      <c r="Z120" s="114"/>
      <c r="AA120" s="114"/>
      <c r="AB120" s="114"/>
      <c r="AC120" s="114"/>
      <c r="AD120" s="114"/>
      <c r="AE120" s="114"/>
      <c r="AF120" s="114"/>
      <c r="AG120" s="114"/>
      <c r="AH120" s="114"/>
      <c r="AI120" s="114"/>
      <c r="AJ120" s="114"/>
      <c r="AK120" s="114"/>
      <c r="AL120" s="114"/>
      <c r="AM120" s="114"/>
      <c r="AN120" s="114"/>
      <c r="AO120" s="114"/>
      <c r="AP120" s="114"/>
      <c r="AQ120" s="114"/>
      <c r="AR120" s="114"/>
      <c r="AS120" s="114"/>
      <c r="AT120" s="114"/>
      <c r="AU120" s="114"/>
      <c r="AV120" s="114"/>
      <c r="AW120" s="114"/>
      <c r="AX120" s="114"/>
      <c r="AY120" s="114"/>
    </row>
    <row r="121" spans="1:51" x14ac:dyDescent="0.3">
      <c r="A121" s="114"/>
      <c r="B121" s="114"/>
      <c r="C121" s="114"/>
      <c r="D121" s="114"/>
      <c r="E121" s="114"/>
      <c r="F121" s="114"/>
      <c r="G121" s="114"/>
      <c r="H121" s="114"/>
      <c r="I121" s="114"/>
      <c r="J121" s="114"/>
      <c r="K121" s="114"/>
      <c r="L121" s="114"/>
      <c r="M121" s="114"/>
      <c r="N121" s="114"/>
      <c r="O121" s="114"/>
      <c r="P121" s="114"/>
      <c r="Q121" s="114"/>
      <c r="R121" s="114"/>
      <c r="S121" s="114"/>
      <c r="T121" s="114"/>
      <c r="U121" s="114"/>
      <c r="V121" s="114"/>
      <c r="W121" s="114"/>
      <c r="X121" s="114"/>
      <c r="Y121" s="114"/>
      <c r="Z121" s="114"/>
      <c r="AA121" s="114"/>
      <c r="AB121" s="114"/>
      <c r="AC121" s="114"/>
      <c r="AD121" s="114"/>
      <c r="AE121" s="114"/>
      <c r="AF121" s="114"/>
      <c r="AG121" s="114"/>
      <c r="AH121" s="114"/>
      <c r="AI121" s="114"/>
      <c r="AJ121" s="114"/>
      <c r="AK121" s="114"/>
      <c r="AL121" s="114"/>
      <c r="AM121" s="114"/>
      <c r="AN121" s="114"/>
      <c r="AO121" s="114"/>
      <c r="AP121" s="114"/>
      <c r="AQ121" s="114"/>
      <c r="AR121" s="114"/>
      <c r="AS121" s="114"/>
      <c r="AT121" s="114"/>
      <c r="AU121" s="114"/>
      <c r="AV121" s="114"/>
      <c r="AW121" s="114"/>
      <c r="AX121" s="114"/>
      <c r="AY121" s="114"/>
    </row>
    <row r="122" spans="1:51" x14ac:dyDescent="0.3">
      <c r="A122" s="114"/>
      <c r="B122" s="114"/>
      <c r="C122" s="114"/>
      <c r="D122" s="114"/>
      <c r="E122" s="114"/>
      <c r="F122" s="114"/>
      <c r="G122" s="114"/>
      <c r="H122" s="114"/>
      <c r="I122" s="114"/>
      <c r="J122" s="114"/>
      <c r="K122" s="114"/>
      <c r="L122" s="114"/>
      <c r="M122" s="114"/>
      <c r="N122" s="114"/>
      <c r="O122" s="114"/>
      <c r="P122" s="114"/>
      <c r="Q122" s="114"/>
      <c r="R122" s="114"/>
      <c r="S122" s="114"/>
      <c r="T122" s="114"/>
      <c r="U122" s="114"/>
      <c r="V122" s="114"/>
      <c r="W122" s="114"/>
      <c r="X122" s="114"/>
      <c r="Y122" s="114"/>
      <c r="Z122" s="114"/>
      <c r="AA122" s="114"/>
      <c r="AB122" s="114"/>
      <c r="AC122" s="114"/>
      <c r="AD122" s="114"/>
      <c r="AE122" s="114"/>
      <c r="AF122" s="114"/>
      <c r="AG122" s="114"/>
      <c r="AH122" s="114"/>
      <c r="AI122" s="114"/>
      <c r="AJ122" s="114"/>
      <c r="AK122" s="114"/>
      <c r="AL122" s="114"/>
      <c r="AM122" s="114"/>
      <c r="AN122" s="114"/>
      <c r="AO122" s="114"/>
      <c r="AP122" s="114"/>
      <c r="AQ122" s="114"/>
      <c r="AR122" s="114"/>
      <c r="AS122" s="114"/>
      <c r="AT122" s="114"/>
      <c r="AU122" s="114"/>
      <c r="AV122" s="114"/>
      <c r="AW122" s="114"/>
      <c r="AX122" s="114"/>
      <c r="AY122" s="114"/>
    </row>
    <row r="123" spans="1:51" x14ac:dyDescent="0.3">
      <c r="A123" s="114"/>
      <c r="B123" s="114"/>
      <c r="C123" s="114"/>
      <c r="D123" s="114"/>
      <c r="E123" s="114"/>
      <c r="F123" s="114"/>
      <c r="G123" s="114"/>
      <c r="H123" s="114"/>
      <c r="I123" s="114"/>
      <c r="J123" s="114"/>
      <c r="K123" s="114"/>
      <c r="L123" s="114"/>
      <c r="M123" s="114"/>
      <c r="N123" s="114"/>
      <c r="O123" s="114"/>
      <c r="P123" s="114"/>
      <c r="Q123" s="114"/>
      <c r="R123" s="114"/>
      <c r="S123" s="114"/>
      <c r="T123" s="114"/>
      <c r="U123" s="114"/>
      <c r="V123" s="114"/>
      <c r="W123" s="114"/>
      <c r="X123" s="114"/>
      <c r="Y123" s="114"/>
      <c r="Z123" s="114"/>
      <c r="AA123" s="114"/>
      <c r="AB123" s="114"/>
      <c r="AC123" s="114"/>
      <c r="AD123" s="114"/>
      <c r="AE123" s="114"/>
      <c r="AF123" s="114"/>
      <c r="AG123" s="114"/>
      <c r="AH123" s="114"/>
      <c r="AI123" s="114"/>
      <c r="AJ123" s="114"/>
      <c r="AK123" s="114"/>
      <c r="AL123" s="114"/>
      <c r="AM123" s="114"/>
      <c r="AN123" s="114"/>
      <c r="AO123" s="114"/>
      <c r="AP123" s="114"/>
      <c r="AQ123" s="114"/>
      <c r="AR123" s="114"/>
      <c r="AS123" s="114"/>
      <c r="AT123" s="114"/>
      <c r="AU123" s="114"/>
      <c r="AV123" s="114"/>
      <c r="AW123" s="114"/>
      <c r="AX123" s="114"/>
      <c r="AY123" s="114"/>
    </row>
    <row r="124" spans="1:51" x14ac:dyDescent="0.3">
      <c r="A124" s="114"/>
      <c r="B124" s="114"/>
      <c r="C124" s="114"/>
      <c r="D124" s="114"/>
      <c r="E124" s="114"/>
      <c r="F124" s="114"/>
      <c r="G124" s="114"/>
      <c r="H124" s="114"/>
      <c r="I124" s="114"/>
      <c r="J124" s="114"/>
      <c r="K124" s="114"/>
      <c r="L124" s="114"/>
      <c r="M124" s="114"/>
      <c r="N124" s="114"/>
      <c r="O124" s="114"/>
      <c r="P124" s="114"/>
      <c r="Q124" s="114"/>
      <c r="R124" s="114"/>
      <c r="S124" s="114"/>
      <c r="T124" s="114"/>
      <c r="U124" s="114"/>
      <c r="V124" s="114"/>
      <c r="W124" s="114"/>
      <c r="X124" s="114"/>
      <c r="Y124" s="114"/>
      <c r="Z124" s="114"/>
      <c r="AA124" s="114"/>
      <c r="AB124" s="114"/>
      <c r="AC124" s="114"/>
      <c r="AD124" s="114"/>
      <c r="AE124" s="114"/>
      <c r="AF124" s="114"/>
      <c r="AG124" s="114"/>
      <c r="AH124" s="114"/>
      <c r="AI124" s="114"/>
      <c r="AJ124" s="114"/>
      <c r="AK124" s="114"/>
      <c r="AL124" s="114"/>
      <c r="AM124" s="114"/>
      <c r="AN124" s="114"/>
      <c r="AO124" s="114"/>
      <c r="AP124" s="114"/>
      <c r="AQ124" s="114"/>
      <c r="AR124" s="114"/>
      <c r="AS124" s="114"/>
      <c r="AT124" s="114"/>
      <c r="AU124" s="114"/>
      <c r="AV124" s="114"/>
      <c r="AW124" s="114"/>
      <c r="AX124" s="114"/>
      <c r="AY124" s="114"/>
    </row>
    <row r="125" spans="1:51" x14ac:dyDescent="0.3">
      <c r="A125" s="114"/>
      <c r="B125" s="114"/>
      <c r="C125" s="114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  <c r="AA125" s="114"/>
      <c r="AB125" s="114"/>
      <c r="AC125" s="114"/>
      <c r="AD125" s="114"/>
      <c r="AE125" s="114"/>
      <c r="AF125" s="114"/>
      <c r="AG125" s="114"/>
      <c r="AH125" s="114"/>
      <c r="AI125" s="114"/>
      <c r="AJ125" s="114"/>
      <c r="AK125" s="114"/>
      <c r="AL125" s="114"/>
      <c r="AM125" s="114"/>
      <c r="AN125" s="114"/>
      <c r="AO125" s="114"/>
      <c r="AP125" s="114"/>
      <c r="AQ125" s="114"/>
      <c r="AR125" s="114"/>
      <c r="AS125" s="114"/>
      <c r="AT125" s="114"/>
      <c r="AU125" s="114"/>
      <c r="AV125" s="114"/>
      <c r="AW125" s="114"/>
      <c r="AX125" s="114"/>
      <c r="AY125" s="114"/>
    </row>
    <row r="126" spans="1:51" x14ac:dyDescent="0.3">
      <c r="A126" s="114"/>
      <c r="B126" s="114"/>
      <c r="C126" s="114"/>
      <c r="D126" s="114"/>
      <c r="E126" s="114"/>
      <c r="F126" s="114"/>
      <c r="G126" s="114"/>
      <c r="H126" s="114"/>
      <c r="I126" s="114"/>
      <c r="J126" s="114"/>
      <c r="K126" s="114"/>
      <c r="L126" s="114"/>
      <c r="M126" s="114"/>
      <c r="N126" s="114"/>
      <c r="O126" s="114"/>
      <c r="P126" s="114"/>
      <c r="Q126" s="114"/>
      <c r="R126" s="114"/>
      <c r="S126" s="114"/>
      <c r="T126" s="114"/>
      <c r="U126" s="114"/>
      <c r="V126" s="114"/>
      <c r="W126" s="114"/>
      <c r="X126" s="114"/>
      <c r="Y126" s="114"/>
      <c r="Z126" s="114"/>
      <c r="AA126" s="114"/>
      <c r="AB126" s="114"/>
      <c r="AC126" s="114"/>
      <c r="AD126" s="114"/>
      <c r="AE126" s="114"/>
      <c r="AF126" s="114"/>
      <c r="AG126" s="114"/>
      <c r="AH126" s="114"/>
      <c r="AI126" s="114"/>
      <c r="AJ126" s="114"/>
      <c r="AK126" s="114"/>
      <c r="AL126" s="114"/>
      <c r="AM126" s="114"/>
      <c r="AN126" s="114"/>
      <c r="AO126" s="114"/>
      <c r="AP126" s="114"/>
      <c r="AQ126" s="114"/>
      <c r="AR126" s="114"/>
      <c r="AS126" s="114"/>
      <c r="AT126" s="114"/>
      <c r="AU126" s="114"/>
      <c r="AV126" s="114"/>
      <c r="AW126" s="114"/>
      <c r="AX126" s="114"/>
      <c r="AY126" s="114"/>
    </row>
    <row r="127" spans="1:51" x14ac:dyDescent="0.3">
      <c r="A127" s="114"/>
      <c r="B127" s="114"/>
      <c r="C127" s="114"/>
      <c r="D127" s="114"/>
      <c r="E127" s="114"/>
      <c r="F127" s="114"/>
      <c r="G127" s="114"/>
      <c r="H127" s="114"/>
      <c r="I127" s="114"/>
      <c r="J127" s="114"/>
      <c r="K127" s="114"/>
      <c r="L127" s="114"/>
      <c r="M127" s="114"/>
      <c r="N127" s="114"/>
      <c r="O127" s="114"/>
      <c r="P127" s="114"/>
      <c r="Q127" s="114"/>
      <c r="R127" s="114"/>
      <c r="S127" s="114"/>
      <c r="T127" s="114"/>
      <c r="U127" s="114"/>
      <c r="V127" s="114"/>
      <c r="W127" s="114"/>
      <c r="X127" s="114"/>
      <c r="Y127" s="114"/>
      <c r="Z127" s="114"/>
      <c r="AA127" s="114"/>
      <c r="AB127" s="114"/>
      <c r="AC127" s="114"/>
      <c r="AD127" s="114"/>
      <c r="AE127" s="114"/>
      <c r="AF127" s="114"/>
      <c r="AG127" s="114"/>
      <c r="AH127" s="114"/>
      <c r="AI127" s="114"/>
      <c r="AJ127" s="114"/>
      <c r="AK127" s="114"/>
      <c r="AL127" s="114"/>
      <c r="AM127" s="114"/>
      <c r="AN127" s="114"/>
      <c r="AO127" s="114"/>
      <c r="AP127" s="114"/>
      <c r="AQ127" s="114"/>
      <c r="AR127" s="114"/>
      <c r="AS127" s="114"/>
      <c r="AT127" s="114"/>
      <c r="AU127" s="114"/>
      <c r="AV127" s="114"/>
      <c r="AW127" s="114"/>
      <c r="AX127" s="114"/>
      <c r="AY127" s="114"/>
    </row>
    <row r="128" spans="1:51" x14ac:dyDescent="0.3">
      <c r="A128" s="114"/>
      <c r="B128" s="114"/>
      <c r="C128" s="114"/>
      <c r="D128" s="114"/>
      <c r="E128" s="114"/>
      <c r="F128" s="114"/>
      <c r="G128" s="114"/>
      <c r="H128" s="114"/>
      <c r="I128" s="114"/>
      <c r="J128" s="114"/>
      <c r="K128" s="114"/>
      <c r="L128" s="114"/>
      <c r="M128" s="114"/>
      <c r="N128" s="114"/>
      <c r="O128" s="114"/>
      <c r="P128" s="114"/>
      <c r="Q128" s="114"/>
      <c r="R128" s="114"/>
      <c r="S128" s="114"/>
      <c r="T128" s="114"/>
      <c r="U128" s="114"/>
      <c r="V128" s="114"/>
      <c r="W128" s="114"/>
      <c r="X128" s="114"/>
      <c r="Y128" s="114"/>
      <c r="Z128" s="114"/>
      <c r="AA128" s="114"/>
      <c r="AB128" s="114"/>
      <c r="AC128" s="114"/>
      <c r="AD128" s="114"/>
      <c r="AE128" s="114"/>
      <c r="AF128" s="114"/>
      <c r="AG128" s="114"/>
      <c r="AH128" s="114"/>
      <c r="AI128" s="114"/>
      <c r="AJ128" s="114"/>
      <c r="AK128" s="114"/>
      <c r="AL128" s="114"/>
      <c r="AM128" s="114"/>
      <c r="AN128" s="114"/>
      <c r="AO128" s="114"/>
      <c r="AP128" s="114"/>
      <c r="AQ128" s="114"/>
      <c r="AR128" s="114"/>
      <c r="AS128" s="114"/>
      <c r="AT128" s="114"/>
      <c r="AU128" s="114"/>
      <c r="AV128" s="114"/>
      <c r="AW128" s="114"/>
      <c r="AX128" s="114"/>
      <c r="AY128" s="114"/>
    </row>
    <row r="129" spans="1:51" x14ac:dyDescent="0.3">
      <c r="A129" s="114"/>
      <c r="B129" s="114"/>
      <c r="C129" s="114"/>
      <c r="D129" s="114"/>
      <c r="E129" s="114"/>
      <c r="F129" s="114"/>
      <c r="G129" s="114"/>
      <c r="H129" s="114"/>
      <c r="I129" s="114"/>
      <c r="J129" s="114"/>
      <c r="K129" s="114"/>
      <c r="L129" s="114"/>
      <c r="M129" s="114"/>
      <c r="N129" s="114"/>
      <c r="O129" s="114"/>
      <c r="P129" s="114"/>
      <c r="Q129" s="114"/>
      <c r="R129" s="114"/>
      <c r="S129" s="114"/>
      <c r="T129" s="114"/>
      <c r="U129" s="114"/>
      <c r="V129" s="114"/>
      <c r="W129" s="114"/>
      <c r="X129" s="114"/>
      <c r="Y129" s="114"/>
      <c r="Z129" s="114"/>
      <c r="AA129" s="114"/>
      <c r="AB129" s="114"/>
      <c r="AC129" s="114"/>
      <c r="AD129" s="114"/>
      <c r="AE129" s="114"/>
      <c r="AF129" s="114"/>
      <c r="AG129" s="114"/>
      <c r="AH129" s="114"/>
      <c r="AI129" s="114"/>
      <c r="AJ129" s="114"/>
      <c r="AK129" s="114"/>
      <c r="AL129" s="114"/>
      <c r="AM129" s="114"/>
      <c r="AN129" s="114"/>
      <c r="AO129" s="114"/>
      <c r="AP129" s="114"/>
      <c r="AQ129" s="114"/>
      <c r="AR129" s="114"/>
      <c r="AS129" s="114"/>
      <c r="AT129" s="114"/>
      <c r="AU129" s="114"/>
      <c r="AV129" s="114"/>
      <c r="AW129" s="114"/>
      <c r="AX129" s="114"/>
      <c r="AY129" s="114"/>
    </row>
    <row r="130" spans="1:51" x14ac:dyDescent="0.3">
      <c r="A130" s="114"/>
      <c r="B130" s="114"/>
      <c r="C130" s="114"/>
      <c r="D130" s="114"/>
      <c r="E130" s="114"/>
      <c r="F130" s="114"/>
      <c r="G130" s="114"/>
      <c r="H130" s="114"/>
      <c r="I130" s="114"/>
      <c r="J130" s="114"/>
      <c r="K130" s="114"/>
      <c r="L130" s="114"/>
      <c r="M130" s="114"/>
      <c r="N130" s="114"/>
      <c r="O130" s="114"/>
      <c r="P130" s="114"/>
      <c r="Q130" s="114"/>
      <c r="R130" s="114"/>
      <c r="S130" s="114"/>
      <c r="T130" s="114"/>
      <c r="U130" s="114"/>
      <c r="V130" s="114"/>
      <c r="W130" s="114"/>
      <c r="X130" s="114"/>
      <c r="Y130" s="114"/>
      <c r="Z130" s="114"/>
      <c r="AA130" s="114"/>
      <c r="AB130" s="114"/>
      <c r="AC130" s="114"/>
      <c r="AD130" s="114"/>
      <c r="AE130" s="114"/>
      <c r="AF130" s="114"/>
      <c r="AG130" s="114"/>
      <c r="AH130" s="114"/>
      <c r="AI130" s="114"/>
      <c r="AJ130" s="114"/>
      <c r="AK130" s="114"/>
      <c r="AL130" s="114"/>
      <c r="AM130" s="114"/>
      <c r="AN130" s="114"/>
      <c r="AO130" s="114"/>
      <c r="AP130" s="114"/>
      <c r="AQ130" s="114"/>
      <c r="AR130" s="114"/>
      <c r="AS130" s="114"/>
      <c r="AT130" s="114"/>
      <c r="AU130" s="114"/>
      <c r="AV130" s="114"/>
      <c r="AW130" s="114"/>
      <c r="AX130" s="114"/>
      <c r="AY130" s="114"/>
    </row>
    <row r="131" spans="1:51" x14ac:dyDescent="0.3">
      <c r="A131" s="114"/>
      <c r="B131" s="114"/>
      <c r="C131" s="114"/>
      <c r="D131" s="114"/>
      <c r="E131" s="114"/>
      <c r="F131" s="114"/>
      <c r="G131" s="114"/>
      <c r="H131" s="114"/>
      <c r="I131" s="114"/>
      <c r="J131" s="114"/>
      <c r="K131" s="114"/>
      <c r="L131" s="114"/>
      <c r="M131" s="114"/>
      <c r="N131" s="114"/>
      <c r="O131" s="114"/>
      <c r="P131" s="114"/>
      <c r="Q131" s="114"/>
      <c r="R131" s="114"/>
      <c r="S131" s="114"/>
      <c r="T131" s="114"/>
      <c r="U131" s="114"/>
      <c r="V131" s="114"/>
      <c r="W131" s="114"/>
      <c r="X131" s="114"/>
      <c r="Y131" s="114"/>
      <c r="Z131" s="114"/>
      <c r="AA131" s="114"/>
      <c r="AB131" s="114"/>
      <c r="AC131" s="114"/>
      <c r="AD131" s="114"/>
      <c r="AE131" s="114"/>
      <c r="AF131" s="114"/>
      <c r="AG131" s="114"/>
      <c r="AH131" s="114"/>
      <c r="AI131" s="114"/>
      <c r="AJ131" s="114"/>
      <c r="AK131" s="114"/>
      <c r="AL131" s="114"/>
      <c r="AM131" s="114"/>
      <c r="AN131" s="114"/>
      <c r="AO131" s="114"/>
      <c r="AP131" s="114"/>
      <c r="AQ131" s="114"/>
      <c r="AR131" s="114"/>
      <c r="AS131" s="114"/>
      <c r="AT131" s="114"/>
      <c r="AU131" s="114"/>
      <c r="AV131" s="114"/>
      <c r="AW131" s="114"/>
      <c r="AX131" s="114"/>
      <c r="AY131" s="114"/>
    </row>
    <row r="132" spans="1:51" x14ac:dyDescent="0.3">
      <c r="A132" s="114"/>
      <c r="B132" s="114"/>
      <c r="C132" s="114"/>
      <c r="D132" s="114"/>
      <c r="E132" s="114"/>
      <c r="F132" s="114"/>
      <c r="G132" s="114"/>
      <c r="H132" s="114"/>
      <c r="I132" s="114"/>
      <c r="J132" s="114"/>
      <c r="K132" s="114"/>
      <c r="L132" s="114"/>
      <c r="M132" s="114"/>
      <c r="N132" s="114"/>
      <c r="O132" s="114"/>
      <c r="P132" s="114"/>
      <c r="Q132" s="114"/>
      <c r="R132" s="114"/>
      <c r="S132" s="114"/>
      <c r="T132" s="114"/>
      <c r="U132" s="114"/>
      <c r="V132" s="114"/>
      <c r="W132" s="114"/>
      <c r="X132" s="114"/>
      <c r="Y132" s="114"/>
      <c r="Z132" s="114"/>
      <c r="AA132" s="114"/>
      <c r="AB132" s="114"/>
      <c r="AC132" s="114"/>
      <c r="AD132" s="114"/>
      <c r="AE132" s="114"/>
      <c r="AF132" s="114"/>
      <c r="AG132" s="114"/>
      <c r="AH132" s="114"/>
      <c r="AI132" s="114"/>
      <c r="AJ132" s="114"/>
      <c r="AK132" s="114"/>
      <c r="AL132" s="114"/>
      <c r="AM132" s="114"/>
      <c r="AN132" s="114"/>
      <c r="AO132" s="114"/>
      <c r="AP132" s="114"/>
      <c r="AQ132" s="114"/>
      <c r="AR132" s="114"/>
      <c r="AS132" s="114"/>
      <c r="AT132" s="114"/>
      <c r="AU132" s="114"/>
      <c r="AV132" s="114"/>
      <c r="AW132" s="114"/>
      <c r="AX132" s="114"/>
      <c r="AY132" s="114"/>
    </row>
    <row r="133" spans="1:51" x14ac:dyDescent="0.3">
      <c r="A133" s="114"/>
      <c r="B133" s="114"/>
      <c r="C133" s="114"/>
      <c r="D133" s="114"/>
      <c r="E133" s="114"/>
      <c r="F133" s="114"/>
      <c r="G133" s="114"/>
      <c r="H133" s="114"/>
      <c r="I133" s="114"/>
      <c r="J133" s="114"/>
      <c r="K133" s="114"/>
      <c r="L133" s="114"/>
      <c r="M133" s="114"/>
      <c r="N133" s="114"/>
      <c r="O133" s="114"/>
      <c r="P133" s="114"/>
      <c r="Q133" s="114"/>
      <c r="R133" s="114"/>
      <c r="S133" s="114"/>
      <c r="T133" s="114"/>
      <c r="U133" s="114"/>
      <c r="V133" s="114"/>
      <c r="W133" s="114"/>
      <c r="X133" s="114"/>
      <c r="Y133" s="114"/>
      <c r="Z133" s="114"/>
      <c r="AA133" s="114"/>
      <c r="AB133" s="114"/>
      <c r="AC133" s="114"/>
      <c r="AD133" s="114"/>
      <c r="AE133" s="114"/>
      <c r="AF133" s="114"/>
      <c r="AG133" s="114"/>
      <c r="AH133" s="114"/>
      <c r="AI133" s="114"/>
      <c r="AJ133" s="114"/>
      <c r="AK133" s="114"/>
      <c r="AL133" s="114"/>
      <c r="AM133" s="114"/>
      <c r="AN133" s="114"/>
      <c r="AO133" s="114"/>
      <c r="AP133" s="114"/>
      <c r="AQ133" s="114"/>
      <c r="AR133" s="114"/>
      <c r="AS133" s="114"/>
      <c r="AT133" s="114"/>
      <c r="AU133" s="114"/>
      <c r="AV133" s="114"/>
      <c r="AW133" s="114"/>
      <c r="AX133" s="114"/>
      <c r="AY133" s="114"/>
    </row>
    <row r="134" spans="1:51" x14ac:dyDescent="0.3">
      <c r="A134" s="114"/>
      <c r="B134" s="114"/>
      <c r="C134" s="114"/>
      <c r="D134" s="114"/>
      <c r="E134" s="114"/>
      <c r="F134" s="114"/>
      <c r="G134" s="114"/>
      <c r="H134" s="114"/>
      <c r="I134" s="114"/>
      <c r="J134" s="114"/>
      <c r="K134" s="114"/>
      <c r="L134" s="114"/>
      <c r="M134" s="114"/>
      <c r="N134" s="114"/>
      <c r="O134" s="114"/>
      <c r="P134" s="114"/>
      <c r="Q134" s="114"/>
      <c r="R134" s="114"/>
      <c r="S134" s="114"/>
      <c r="T134" s="114"/>
      <c r="U134" s="114"/>
      <c r="V134" s="114"/>
      <c r="W134" s="114"/>
      <c r="X134" s="114"/>
      <c r="Y134" s="114"/>
      <c r="Z134" s="114"/>
      <c r="AA134" s="114"/>
      <c r="AB134" s="114"/>
      <c r="AC134" s="114"/>
      <c r="AD134" s="114"/>
      <c r="AE134" s="114"/>
      <c r="AF134" s="114"/>
      <c r="AG134" s="114"/>
      <c r="AH134" s="114"/>
      <c r="AI134" s="114"/>
      <c r="AJ134" s="114"/>
      <c r="AK134" s="114"/>
      <c r="AL134" s="114"/>
      <c r="AM134" s="114"/>
      <c r="AN134" s="114"/>
      <c r="AO134" s="114"/>
      <c r="AP134" s="114"/>
      <c r="AQ134" s="114"/>
      <c r="AR134" s="114"/>
      <c r="AS134" s="114"/>
      <c r="AT134" s="114"/>
      <c r="AU134" s="114"/>
      <c r="AV134" s="114"/>
      <c r="AW134" s="114"/>
      <c r="AX134" s="114"/>
      <c r="AY134" s="114"/>
    </row>
    <row r="135" spans="1:51" x14ac:dyDescent="0.3">
      <c r="A135" s="114"/>
      <c r="B135" s="114"/>
      <c r="C135" s="114"/>
      <c r="D135" s="114"/>
      <c r="E135" s="114"/>
      <c r="F135" s="114"/>
      <c r="G135" s="114"/>
      <c r="H135" s="114"/>
      <c r="I135" s="114"/>
      <c r="J135" s="114"/>
      <c r="K135" s="114"/>
      <c r="L135" s="114"/>
      <c r="M135" s="114"/>
      <c r="N135" s="114"/>
      <c r="O135" s="114"/>
      <c r="P135" s="114"/>
      <c r="Q135" s="114"/>
      <c r="R135" s="114"/>
      <c r="S135" s="114"/>
      <c r="T135" s="114"/>
      <c r="U135" s="114"/>
      <c r="V135" s="114"/>
      <c r="W135" s="114"/>
      <c r="X135" s="114"/>
      <c r="Y135" s="114"/>
      <c r="Z135" s="114"/>
      <c r="AA135" s="114"/>
      <c r="AB135" s="114"/>
      <c r="AC135" s="114"/>
      <c r="AD135" s="114"/>
      <c r="AE135" s="114"/>
      <c r="AF135" s="114"/>
      <c r="AG135" s="114"/>
      <c r="AH135" s="114"/>
      <c r="AI135" s="114"/>
      <c r="AJ135" s="114"/>
      <c r="AK135" s="114"/>
      <c r="AL135" s="114"/>
      <c r="AM135" s="114"/>
      <c r="AN135" s="114"/>
      <c r="AO135" s="114"/>
      <c r="AP135" s="114"/>
      <c r="AQ135" s="114"/>
      <c r="AR135" s="114"/>
      <c r="AS135" s="114"/>
      <c r="AT135" s="114"/>
      <c r="AU135" s="114"/>
      <c r="AV135" s="114"/>
      <c r="AW135" s="114"/>
      <c r="AX135" s="114"/>
      <c r="AY135" s="114"/>
    </row>
    <row r="136" spans="1:51" x14ac:dyDescent="0.3">
      <c r="A136" s="114"/>
      <c r="B136" s="114"/>
      <c r="C136" s="114"/>
      <c r="D136" s="114"/>
      <c r="E136" s="114"/>
      <c r="F136" s="114"/>
      <c r="G136" s="114"/>
      <c r="H136" s="114"/>
      <c r="I136" s="114"/>
      <c r="J136" s="114"/>
      <c r="K136" s="114"/>
      <c r="L136" s="114"/>
      <c r="M136" s="114"/>
      <c r="N136" s="114"/>
      <c r="O136" s="114"/>
      <c r="P136" s="114"/>
      <c r="Q136" s="114"/>
      <c r="R136" s="114"/>
      <c r="S136" s="114"/>
      <c r="T136" s="114"/>
      <c r="U136" s="114"/>
      <c r="V136" s="114"/>
      <c r="W136" s="114"/>
      <c r="X136" s="114"/>
      <c r="Y136" s="114"/>
      <c r="Z136" s="114"/>
      <c r="AA136" s="114"/>
      <c r="AB136" s="114"/>
      <c r="AC136" s="114"/>
      <c r="AD136" s="114"/>
      <c r="AE136" s="114"/>
      <c r="AF136" s="114"/>
      <c r="AG136" s="114"/>
      <c r="AH136" s="114"/>
      <c r="AI136" s="114"/>
      <c r="AJ136" s="114"/>
      <c r="AK136" s="114"/>
      <c r="AL136" s="114"/>
      <c r="AM136" s="114"/>
      <c r="AN136" s="114"/>
      <c r="AO136" s="114"/>
      <c r="AP136" s="114"/>
      <c r="AQ136" s="114"/>
      <c r="AR136" s="114"/>
      <c r="AS136" s="114"/>
      <c r="AT136" s="114"/>
      <c r="AU136" s="114"/>
      <c r="AV136" s="114"/>
      <c r="AW136" s="114"/>
      <c r="AX136" s="114"/>
      <c r="AY136" s="114"/>
    </row>
    <row r="137" spans="1:51" x14ac:dyDescent="0.3">
      <c r="A137" s="114"/>
      <c r="B137" s="114"/>
      <c r="C137" s="114"/>
      <c r="D137" s="114"/>
      <c r="E137" s="114"/>
      <c r="F137" s="114"/>
      <c r="G137" s="114"/>
      <c r="H137" s="114"/>
      <c r="I137" s="114"/>
      <c r="J137" s="114"/>
      <c r="K137" s="114"/>
      <c r="L137" s="114"/>
      <c r="M137" s="114"/>
      <c r="N137" s="114"/>
      <c r="O137" s="114"/>
      <c r="P137" s="114"/>
      <c r="Q137" s="114"/>
      <c r="R137" s="114"/>
      <c r="S137" s="114"/>
      <c r="T137" s="114"/>
      <c r="U137" s="114"/>
      <c r="V137" s="114"/>
      <c r="W137" s="114"/>
      <c r="X137" s="114"/>
      <c r="Y137" s="114"/>
      <c r="Z137" s="114"/>
      <c r="AA137" s="114"/>
      <c r="AB137" s="114"/>
      <c r="AC137" s="114"/>
      <c r="AD137" s="114"/>
      <c r="AE137" s="114"/>
      <c r="AF137" s="114"/>
      <c r="AG137" s="114"/>
      <c r="AH137" s="114"/>
      <c r="AI137" s="114"/>
      <c r="AJ137" s="114"/>
      <c r="AK137" s="114"/>
      <c r="AL137" s="114"/>
      <c r="AM137" s="114"/>
      <c r="AN137" s="114"/>
      <c r="AO137" s="114"/>
      <c r="AP137" s="114"/>
      <c r="AQ137" s="114"/>
      <c r="AR137" s="114"/>
      <c r="AS137" s="114"/>
      <c r="AT137" s="114"/>
      <c r="AU137" s="114"/>
      <c r="AV137" s="114"/>
      <c r="AW137" s="114"/>
      <c r="AX137" s="114"/>
      <c r="AY137" s="114"/>
    </row>
    <row r="138" spans="1:51" x14ac:dyDescent="0.3">
      <c r="A138" s="114"/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Z138" s="114"/>
      <c r="AA138" s="114"/>
      <c r="AB138" s="114"/>
      <c r="AC138" s="114"/>
      <c r="AD138" s="114"/>
      <c r="AE138" s="114"/>
      <c r="AF138" s="114"/>
      <c r="AG138" s="114"/>
      <c r="AH138" s="114"/>
      <c r="AI138" s="114"/>
      <c r="AJ138" s="114"/>
      <c r="AK138" s="114"/>
      <c r="AL138" s="114"/>
      <c r="AM138" s="114"/>
      <c r="AN138" s="114"/>
      <c r="AO138" s="114"/>
      <c r="AP138" s="114"/>
      <c r="AQ138" s="114"/>
      <c r="AR138" s="114"/>
      <c r="AS138" s="114"/>
      <c r="AT138" s="114"/>
      <c r="AU138" s="114"/>
      <c r="AV138" s="114"/>
      <c r="AW138" s="114"/>
      <c r="AX138" s="114"/>
      <c r="AY138" s="114"/>
    </row>
    <row r="139" spans="1:51" x14ac:dyDescent="0.3">
      <c r="A139" s="114"/>
      <c r="B139" s="114"/>
      <c r="C139" s="114"/>
      <c r="D139" s="114"/>
      <c r="E139" s="114"/>
      <c r="F139" s="114"/>
      <c r="G139" s="114"/>
      <c r="H139" s="114"/>
      <c r="I139" s="114"/>
      <c r="J139" s="114"/>
      <c r="K139" s="114"/>
      <c r="L139" s="114"/>
      <c r="M139" s="114"/>
      <c r="N139" s="114"/>
      <c r="O139" s="114"/>
      <c r="P139" s="114"/>
      <c r="Q139" s="114"/>
      <c r="R139" s="114"/>
      <c r="S139" s="114"/>
      <c r="T139" s="114"/>
      <c r="U139" s="114"/>
      <c r="V139" s="114"/>
      <c r="W139" s="114"/>
      <c r="X139" s="114"/>
      <c r="Y139" s="114"/>
      <c r="Z139" s="114"/>
      <c r="AA139" s="114"/>
      <c r="AB139" s="114"/>
      <c r="AC139" s="114"/>
      <c r="AD139" s="114"/>
      <c r="AE139" s="114"/>
      <c r="AF139" s="114"/>
      <c r="AG139" s="114"/>
      <c r="AH139" s="114"/>
      <c r="AI139" s="114"/>
      <c r="AJ139" s="114"/>
      <c r="AK139" s="114"/>
      <c r="AL139" s="114"/>
      <c r="AM139" s="114"/>
      <c r="AN139" s="114"/>
      <c r="AO139" s="114"/>
      <c r="AP139" s="114"/>
      <c r="AQ139" s="114"/>
      <c r="AR139" s="114"/>
      <c r="AS139" s="114"/>
      <c r="AT139" s="114"/>
      <c r="AU139" s="114"/>
      <c r="AV139" s="114"/>
      <c r="AW139" s="114"/>
      <c r="AX139" s="114"/>
      <c r="AY139" s="114"/>
    </row>
    <row r="140" spans="1:51" x14ac:dyDescent="0.3">
      <c r="A140" s="114"/>
      <c r="B140" s="114"/>
      <c r="C140" s="114"/>
      <c r="D140" s="114"/>
      <c r="E140" s="114"/>
      <c r="F140" s="114"/>
      <c r="G140" s="114"/>
      <c r="H140" s="114"/>
      <c r="I140" s="114"/>
      <c r="J140" s="114"/>
      <c r="K140" s="114"/>
      <c r="L140" s="114"/>
      <c r="M140" s="114"/>
      <c r="N140" s="114"/>
      <c r="O140" s="114"/>
      <c r="P140" s="114"/>
      <c r="Q140" s="114"/>
      <c r="R140" s="114"/>
      <c r="S140" s="114"/>
      <c r="T140" s="114"/>
      <c r="U140" s="114"/>
      <c r="V140" s="114"/>
      <c r="W140" s="114"/>
      <c r="X140" s="114"/>
      <c r="Y140" s="114"/>
      <c r="Z140" s="114"/>
      <c r="AA140" s="114"/>
      <c r="AB140" s="114"/>
      <c r="AC140" s="114"/>
      <c r="AD140" s="114"/>
      <c r="AE140" s="114"/>
      <c r="AF140" s="114"/>
      <c r="AG140" s="114"/>
      <c r="AH140" s="114"/>
      <c r="AI140" s="114"/>
      <c r="AJ140" s="114"/>
      <c r="AK140" s="114"/>
      <c r="AL140" s="114"/>
      <c r="AM140" s="114"/>
      <c r="AN140" s="114"/>
      <c r="AO140" s="114"/>
      <c r="AP140" s="114"/>
      <c r="AQ140" s="114"/>
      <c r="AR140" s="114"/>
      <c r="AS140" s="114"/>
      <c r="AT140" s="114"/>
      <c r="AU140" s="114"/>
      <c r="AV140" s="114"/>
      <c r="AW140" s="114"/>
      <c r="AX140" s="114"/>
      <c r="AY140" s="114"/>
    </row>
    <row r="141" spans="1:51" x14ac:dyDescent="0.3">
      <c r="A141" s="114"/>
      <c r="B141" s="114"/>
      <c r="C141" s="114"/>
      <c r="D141" s="114"/>
      <c r="E141" s="114"/>
      <c r="F141" s="114"/>
      <c r="G141" s="114"/>
      <c r="H141" s="114"/>
      <c r="I141" s="114"/>
      <c r="J141" s="114"/>
      <c r="K141" s="114"/>
      <c r="L141" s="114"/>
      <c r="M141" s="114"/>
      <c r="N141" s="114"/>
      <c r="O141" s="114"/>
      <c r="P141" s="114"/>
      <c r="Q141" s="114"/>
      <c r="R141" s="114"/>
      <c r="S141" s="114"/>
      <c r="T141" s="114"/>
      <c r="U141" s="114"/>
      <c r="V141" s="114"/>
      <c r="W141" s="114"/>
      <c r="X141" s="114"/>
      <c r="Y141" s="114"/>
      <c r="Z141" s="114"/>
      <c r="AA141" s="114"/>
      <c r="AB141" s="114"/>
      <c r="AC141" s="114"/>
      <c r="AD141" s="114"/>
      <c r="AE141" s="114"/>
      <c r="AF141" s="114"/>
      <c r="AG141" s="114"/>
      <c r="AH141" s="114"/>
      <c r="AI141" s="114"/>
      <c r="AJ141" s="114"/>
      <c r="AK141" s="114"/>
      <c r="AL141" s="114"/>
      <c r="AM141" s="114"/>
      <c r="AN141" s="114"/>
      <c r="AO141" s="114"/>
      <c r="AP141" s="114"/>
      <c r="AQ141" s="114"/>
      <c r="AR141" s="114"/>
      <c r="AS141" s="114"/>
      <c r="AT141" s="114"/>
      <c r="AU141" s="114"/>
      <c r="AV141" s="114"/>
      <c r="AW141" s="114"/>
      <c r="AX141" s="114"/>
      <c r="AY141" s="114"/>
    </row>
    <row r="142" spans="1:51" x14ac:dyDescent="0.3">
      <c r="A142" s="114"/>
      <c r="B142" s="114"/>
      <c r="C142" s="114"/>
      <c r="D142" s="114"/>
      <c r="E142" s="114"/>
      <c r="F142" s="114"/>
      <c r="G142" s="114"/>
      <c r="H142" s="114"/>
      <c r="I142" s="114"/>
      <c r="J142" s="114"/>
      <c r="K142" s="114"/>
      <c r="L142" s="114"/>
      <c r="M142" s="114"/>
      <c r="N142" s="114"/>
      <c r="O142" s="114"/>
      <c r="P142" s="114"/>
      <c r="Q142" s="114"/>
      <c r="R142" s="114"/>
      <c r="S142" s="114"/>
      <c r="T142" s="114"/>
      <c r="U142" s="114"/>
      <c r="V142" s="114"/>
      <c r="W142" s="114"/>
      <c r="X142" s="114"/>
      <c r="Y142" s="114"/>
      <c r="Z142" s="114"/>
      <c r="AA142" s="114"/>
      <c r="AB142" s="114"/>
      <c r="AC142" s="114"/>
      <c r="AD142" s="114"/>
      <c r="AE142" s="114"/>
      <c r="AF142" s="114"/>
      <c r="AG142" s="114"/>
      <c r="AH142" s="114"/>
      <c r="AI142" s="114"/>
      <c r="AJ142" s="114"/>
      <c r="AK142" s="114"/>
      <c r="AL142" s="114"/>
      <c r="AM142" s="114"/>
      <c r="AN142" s="114"/>
      <c r="AO142" s="114"/>
      <c r="AP142" s="114"/>
      <c r="AQ142" s="114"/>
      <c r="AR142" s="114"/>
      <c r="AS142" s="114"/>
      <c r="AT142" s="114"/>
      <c r="AU142" s="114"/>
      <c r="AV142" s="114"/>
      <c r="AW142" s="114"/>
      <c r="AX142" s="114"/>
      <c r="AY142" s="114"/>
    </row>
    <row r="143" spans="1:51" x14ac:dyDescent="0.3">
      <c r="A143" s="114"/>
      <c r="B143" s="114"/>
      <c r="C143" s="114"/>
      <c r="D143" s="114"/>
      <c r="E143" s="114"/>
      <c r="F143" s="114"/>
      <c r="G143" s="114"/>
      <c r="H143" s="114"/>
      <c r="I143" s="114"/>
      <c r="J143" s="114"/>
      <c r="K143" s="114"/>
      <c r="L143" s="114"/>
      <c r="M143" s="114"/>
      <c r="N143" s="114"/>
      <c r="O143" s="114"/>
      <c r="P143" s="114"/>
      <c r="Q143" s="114"/>
      <c r="R143" s="114"/>
      <c r="S143" s="114"/>
      <c r="T143" s="114"/>
      <c r="U143" s="114"/>
      <c r="V143" s="114"/>
      <c r="W143" s="114"/>
      <c r="X143" s="114"/>
      <c r="Y143" s="114"/>
      <c r="Z143" s="114"/>
      <c r="AA143" s="114"/>
      <c r="AB143" s="114"/>
      <c r="AC143" s="114"/>
      <c r="AD143" s="114"/>
      <c r="AE143" s="114"/>
      <c r="AF143" s="114"/>
      <c r="AG143" s="114"/>
      <c r="AH143" s="114"/>
      <c r="AI143" s="114"/>
      <c r="AJ143" s="114"/>
      <c r="AK143" s="114"/>
      <c r="AL143" s="114"/>
      <c r="AM143" s="114"/>
      <c r="AN143" s="114"/>
      <c r="AO143" s="114"/>
      <c r="AP143" s="114"/>
      <c r="AQ143" s="114"/>
      <c r="AR143" s="114"/>
      <c r="AS143" s="114"/>
      <c r="AT143" s="114"/>
      <c r="AU143" s="114"/>
      <c r="AV143" s="114"/>
      <c r="AW143" s="114"/>
      <c r="AX143" s="114"/>
      <c r="AY143" s="114"/>
    </row>
    <row r="144" spans="1:51" x14ac:dyDescent="0.3">
      <c r="A144" s="114"/>
      <c r="B144" s="114"/>
      <c r="C144" s="114"/>
      <c r="D144" s="114"/>
      <c r="E144" s="114"/>
      <c r="F144" s="114"/>
      <c r="G144" s="114"/>
      <c r="H144" s="114"/>
      <c r="I144" s="114"/>
      <c r="J144" s="114"/>
      <c r="K144" s="114"/>
      <c r="L144" s="114"/>
      <c r="M144" s="114"/>
      <c r="N144" s="114"/>
      <c r="O144" s="114"/>
      <c r="P144" s="114"/>
      <c r="Q144" s="114"/>
      <c r="R144" s="114"/>
      <c r="S144" s="114"/>
      <c r="T144" s="114"/>
      <c r="U144" s="114"/>
      <c r="V144" s="114"/>
      <c r="W144" s="114"/>
      <c r="X144" s="114"/>
      <c r="Y144" s="114"/>
      <c r="Z144" s="114"/>
      <c r="AA144" s="114"/>
      <c r="AB144" s="114"/>
      <c r="AC144" s="114"/>
      <c r="AD144" s="114"/>
      <c r="AE144" s="114"/>
      <c r="AF144" s="114"/>
      <c r="AG144" s="114"/>
      <c r="AH144" s="114"/>
      <c r="AI144" s="114"/>
      <c r="AJ144" s="114"/>
      <c r="AK144" s="114"/>
      <c r="AL144" s="114"/>
      <c r="AM144" s="114"/>
      <c r="AN144" s="114"/>
      <c r="AO144" s="114"/>
      <c r="AP144" s="114"/>
      <c r="AQ144" s="114"/>
      <c r="AR144" s="114"/>
      <c r="AS144" s="114"/>
      <c r="AT144" s="114"/>
      <c r="AU144" s="114"/>
      <c r="AV144" s="114"/>
      <c r="AW144" s="114"/>
      <c r="AX144" s="114"/>
      <c r="AY144" s="114"/>
    </row>
    <row r="145" spans="1:51" x14ac:dyDescent="0.3">
      <c r="A145" s="114"/>
      <c r="B145" s="114"/>
      <c r="C145" s="114"/>
      <c r="D145" s="114"/>
      <c r="E145" s="114"/>
      <c r="F145" s="114"/>
      <c r="G145" s="114"/>
      <c r="H145" s="114"/>
      <c r="I145" s="114"/>
      <c r="J145" s="114"/>
      <c r="K145" s="114"/>
      <c r="L145" s="114"/>
      <c r="M145" s="114"/>
      <c r="N145" s="114"/>
      <c r="O145" s="114"/>
      <c r="P145" s="114"/>
      <c r="Q145" s="114"/>
      <c r="R145" s="114"/>
      <c r="S145" s="114"/>
      <c r="T145" s="114"/>
      <c r="U145" s="114"/>
      <c r="V145" s="114"/>
      <c r="W145" s="114"/>
      <c r="X145" s="114"/>
      <c r="Y145" s="114"/>
      <c r="Z145" s="114"/>
      <c r="AA145" s="114"/>
      <c r="AB145" s="114"/>
      <c r="AC145" s="114"/>
      <c r="AD145" s="114"/>
      <c r="AE145" s="114"/>
      <c r="AF145" s="114"/>
      <c r="AG145" s="114"/>
      <c r="AH145" s="114"/>
      <c r="AI145" s="114"/>
      <c r="AJ145" s="114"/>
      <c r="AK145" s="114"/>
      <c r="AL145" s="114"/>
      <c r="AM145" s="114"/>
      <c r="AN145" s="114"/>
      <c r="AO145" s="114"/>
      <c r="AP145" s="114"/>
      <c r="AQ145" s="114"/>
      <c r="AR145" s="114"/>
      <c r="AS145" s="114"/>
      <c r="AT145" s="114"/>
      <c r="AU145" s="114"/>
      <c r="AV145" s="114"/>
      <c r="AW145" s="114"/>
      <c r="AX145" s="114"/>
      <c r="AY145" s="114"/>
    </row>
    <row r="146" spans="1:51" x14ac:dyDescent="0.3">
      <c r="A146" s="114"/>
      <c r="B146" s="114"/>
      <c r="C146" s="114"/>
      <c r="D146" s="114"/>
      <c r="E146" s="114"/>
      <c r="F146" s="114"/>
      <c r="G146" s="114"/>
      <c r="H146" s="114"/>
      <c r="I146" s="114"/>
      <c r="J146" s="114"/>
      <c r="K146" s="114"/>
      <c r="L146" s="114"/>
      <c r="M146" s="114"/>
      <c r="N146" s="114"/>
      <c r="O146" s="114"/>
      <c r="P146" s="114"/>
      <c r="Q146" s="114"/>
      <c r="R146" s="114"/>
      <c r="S146" s="114"/>
      <c r="T146" s="114"/>
      <c r="U146" s="114"/>
      <c r="V146" s="114"/>
      <c r="W146" s="114"/>
      <c r="X146" s="114"/>
      <c r="Y146" s="114"/>
      <c r="Z146" s="114"/>
      <c r="AA146" s="114"/>
      <c r="AB146" s="114"/>
      <c r="AC146" s="114"/>
      <c r="AD146" s="114"/>
      <c r="AE146" s="114"/>
      <c r="AF146" s="114"/>
      <c r="AG146" s="114"/>
      <c r="AH146" s="114"/>
      <c r="AI146" s="114"/>
      <c r="AJ146" s="114"/>
      <c r="AK146" s="114"/>
      <c r="AL146" s="114"/>
      <c r="AM146" s="114"/>
      <c r="AN146" s="114"/>
      <c r="AO146" s="114"/>
      <c r="AP146" s="114"/>
      <c r="AQ146" s="114"/>
      <c r="AR146" s="114"/>
      <c r="AS146" s="114"/>
      <c r="AT146" s="114"/>
      <c r="AU146" s="114"/>
      <c r="AV146" s="114"/>
      <c r="AW146" s="114"/>
      <c r="AX146" s="114"/>
      <c r="AY146" s="114"/>
    </row>
    <row r="147" spans="1:51" x14ac:dyDescent="0.3">
      <c r="A147" s="114"/>
      <c r="B147" s="114"/>
      <c r="C147" s="114"/>
      <c r="D147" s="114"/>
      <c r="E147" s="114"/>
      <c r="F147" s="114"/>
      <c r="G147" s="114"/>
      <c r="H147" s="114"/>
      <c r="I147" s="114"/>
      <c r="J147" s="114"/>
      <c r="K147" s="114"/>
      <c r="L147" s="114"/>
      <c r="M147" s="114"/>
      <c r="N147" s="114"/>
      <c r="O147" s="114"/>
      <c r="P147" s="114"/>
      <c r="Q147" s="114"/>
      <c r="R147" s="114"/>
      <c r="S147" s="114"/>
      <c r="T147" s="114"/>
      <c r="U147" s="114"/>
      <c r="V147" s="114"/>
      <c r="W147" s="114"/>
      <c r="X147" s="114"/>
      <c r="Y147" s="114"/>
      <c r="Z147" s="114"/>
      <c r="AA147" s="114"/>
      <c r="AB147" s="114"/>
      <c r="AC147" s="114"/>
      <c r="AD147" s="114"/>
      <c r="AE147" s="114"/>
      <c r="AF147" s="114"/>
      <c r="AG147" s="114"/>
      <c r="AH147" s="114"/>
      <c r="AI147" s="114"/>
      <c r="AJ147" s="114"/>
      <c r="AK147" s="114"/>
      <c r="AL147" s="114"/>
      <c r="AM147" s="114"/>
      <c r="AN147" s="114"/>
      <c r="AO147" s="114"/>
      <c r="AP147" s="114"/>
      <c r="AQ147" s="114"/>
      <c r="AR147" s="114"/>
      <c r="AS147" s="114"/>
      <c r="AT147" s="114"/>
      <c r="AU147" s="114"/>
      <c r="AV147" s="114"/>
      <c r="AW147" s="114"/>
      <c r="AX147" s="114"/>
      <c r="AY147" s="114"/>
    </row>
    <row r="148" spans="1:51" x14ac:dyDescent="0.3">
      <c r="A148" s="114"/>
      <c r="B148" s="114"/>
      <c r="C148" s="114"/>
      <c r="D148" s="114"/>
      <c r="E148" s="114"/>
      <c r="F148" s="114"/>
      <c r="G148" s="114"/>
      <c r="H148" s="114"/>
      <c r="I148" s="114"/>
      <c r="J148" s="114"/>
      <c r="K148" s="114"/>
      <c r="L148" s="114"/>
      <c r="M148" s="114"/>
      <c r="N148" s="114"/>
      <c r="O148" s="114"/>
      <c r="P148" s="114"/>
      <c r="Q148" s="114"/>
      <c r="R148" s="114"/>
      <c r="S148" s="114"/>
      <c r="T148" s="114"/>
      <c r="U148" s="114"/>
      <c r="V148" s="114"/>
      <c r="W148" s="114"/>
      <c r="X148" s="114"/>
      <c r="Y148" s="114"/>
      <c r="Z148" s="114"/>
      <c r="AA148" s="114"/>
      <c r="AB148" s="114"/>
      <c r="AC148" s="114"/>
      <c r="AD148" s="114"/>
      <c r="AE148" s="114"/>
      <c r="AF148" s="114"/>
      <c r="AG148" s="114"/>
      <c r="AH148" s="114"/>
      <c r="AI148" s="114"/>
      <c r="AJ148" s="114"/>
      <c r="AK148" s="114"/>
      <c r="AL148" s="114"/>
      <c r="AM148" s="114"/>
      <c r="AN148" s="114"/>
      <c r="AO148" s="114"/>
      <c r="AP148" s="114"/>
      <c r="AQ148" s="114"/>
      <c r="AR148" s="114"/>
      <c r="AS148" s="114"/>
      <c r="AT148" s="114"/>
      <c r="AU148" s="114"/>
      <c r="AV148" s="114"/>
      <c r="AW148" s="114"/>
      <c r="AX148" s="114"/>
      <c r="AY148" s="114"/>
    </row>
    <row r="149" spans="1:51" x14ac:dyDescent="0.3">
      <c r="A149" s="114"/>
      <c r="B149" s="114"/>
      <c r="C149" s="114"/>
      <c r="D149" s="114"/>
      <c r="E149" s="114"/>
      <c r="F149" s="114"/>
      <c r="G149" s="114"/>
      <c r="H149" s="114"/>
      <c r="I149" s="114"/>
      <c r="J149" s="114"/>
      <c r="K149" s="114"/>
      <c r="L149" s="114"/>
      <c r="M149" s="114"/>
      <c r="N149" s="114"/>
      <c r="O149" s="114"/>
      <c r="P149" s="114"/>
      <c r="Q149" s="114"/>
      <c r="R149" s="114"/>
      <c r="S149" s="114"/>
      <c r="T149" s="114"/>
      <c r="U149" s="114"/>
      <c r="V149" s="114"/>
      <c r="W149" s="114"/>
      <c r="X149" s="114"/>
      <c r="Y149" s="114"/>
      <c r="Z149" s="114"/>
      <c r="AA149" s="114"/>
      <c r="AB149" s="114"/>
      <c r="AC149" s="114"/>
      <c r="AD149" s="114"/>
      <c r="AE149" s="114"/>
      <c r="AF149" s="114"/>
      <c r="AG149" s="114"/>
      <c r="AH149" s="114"/>
      <c r="AI149" s="114"/>
      <c r="AJ149" s="114"/>
      <c r="AK149" s="114"/>
      <c r="AL149" s="114"/>
      <c r="AM149" s="114"/>
      <c r="AN149" s="114"/>
      <c r="AO149" s="114"/>
      <c r="AP149" s="114"/>
      <c r="AQ149" s="114"/>
      <c r="AR149" s="114"/>
      <c r="AS149" s="114"/>
      <c r="AT149" s="114"/>
      <c r="AU149" s="114"/>
      <c r="AV149" s="114"/>
      <c r="AW149" s="114"/>
      <c r="AX149" s="114"/>
      <c r="AY149" s="114"/>
    </row>
    <row r="150" spans="1:51" x14ac:dyDescent="0.3">
      <c r="A150" s="114"/>
      <c r="B150" s="114"/>
      <c r="C150" s="114"/>
      <c r="D150" s="114"/>
      <c r="E150" s="114"/>
      <c r="F150" s="114"/>
      <c r="G150" s="114"/>
      <c r="H150" s="114"/>
      <c r="I150" s="114"/>
      <c r="J150" s="114"/>
      <c r="K150" s="114"/>
      <c r="L150" s="114"/>
      <c r="M150" s="114"/>
      <c r="N150" s="114"/>
      <c r="O150" s="114"/>
      <c r="P150" s="114"/>
      <c r="Q150" s="114"/>
      <c r="R150" s="114"/>
      <c r="S150" s="114"/>
      <c r="T150" s="114"/>
      <c r="U150" s="114"/>
      <c r="V150" s="114"/>
      <c r="W150" s="114"/>
      <c r="X150" s="114"/>
      <c r="Y150" s="114"/>
      <c r="Z150" s="114"/>
      <c r="AA150" s="114"/>
      <c r="AB150" s="114"/>
      <c r="AC150" s="114"/>
      <c r="AD150" s="114"/>
      <c r="AE150" s="114"/>
      <c r="AF150" s="114"/>
      <c r="AG150" s="114"/>
      <c r="AH150" s="114"/>
      <c r="AI150" s="114"/>
      <c r="AJ150" s="114"/>
      <c r="AK150" s="114"/>
      <c r="AL150" s="114"/>
      <c r="AM150" s="114"/>
      <c r="AN150" s="114"/>
      <c r="AO150" s="114"/>
      <c r="AP150" s="114"/>
      <c r="AQ150" s="114"/>
      <c r="AR150" s="114"/>
      <c r="AS150" s="114"/>
      <c r="AT150" s="114"/>
      <c r="AU150" s="114"/>
      <c r="AV150" s="114"/>
      <c r="AW150" s="114"/>
      <c r="AX150" s="114"/>
      <c r="AY150" s="114"/>
    </row>
    <row r="151" spans="1:51" x14ac:dyDescent="0.3">
      <c r="A151" s="114"/>
      <c r="B151" s="114"/>
      <c r="C151" s="114"/>
      <c r="D151" s="114"/>
      <c r="E151" s="114"/>
      <c r="F151" s="114"/>
      <c r="G151" s="114"/>
      <c r="H151" s="114"/>
      <c r="I151" s="114"/>
      <c r="J151" s="114"/>
      <c r="K151" s="114"/>
      <c r="L151" s="114"/>
      <c r="M151" s="114"/>
      <c r="N151" s="114"/>
      <c r="O151" s="114"/>
      <c r="P151" s="114"/>
      <c r="Q151" s="114"/>
      <c r="R151" s="114"/>
      <c r="S151" s="114"/>
      <c r="T151" s="114"/>
      <c r="U151" s="114"/>
      <c r="V151" s="114"/>
      <c r="W151" s="114"/>
      <c r="X151" s="114"/>
      <c r="Y151" s="114"/>
      <c r="Z151" s="114"/>
      <c r="AA151" s="114"/>
      <c r="AB151" s="114"/>
      <c r="AC151" s="114"/>
      <c r="AD151" s="114"/>
      <c r="AE151" s="114"/>
      <c r="AF151" s="114"/>
      <c r="AG151" s="114"/>
      <c r="AH151" s="114"/>
      <c r="AI151" s="114"/>
      <c r="AJ151" s="114"/>
      <c r="AK151" s="114"/>
      <c r="AL151" s="114"/>
      <c r="AM151" s="114"/>
      <c r="AN151" s="114"/>
      <c r="AO151" s="114"/>
      <c r="AP151" s="114"/>
      <c r="AQ151" s="114"/>
      <c r="AR151" s="114"/>
      <c r="AS151" s="114"/>
      <c r="AT151" s="114"/>
      <c r="AU151" s="114"/>
      <c r="AV151" s="114"/>
      <c r="AW151" s="114"/>
      <c r="AX151" s="114"/>
      <c r="AY151" s="114"/>
    </row>
    <row r="152" spans="1:51" x14ac:dyDescent="0.3">
      <c r="A152" s="114"/>
      <c r="B152" s="114"/>
      <c r="C152" s="114"/>
      <c r="D152" s="114"/>
      <c r="E152" s="114"/>
      <c r="F152" s="114"/>
      <c r="G152" s="114"/>
      <c r="H152" s="114"/>
      <c r="I152" s="114"/>
      <c r="J152" s="114"/>
      <c r="K152" s="114"/>
      <c r="L152" s="114"/>
      <c r="M152" s="114"/>
      <c r="N152" s="114"/>
      <c r="O152" s="114"/>
      <c r="P152" s="114"/>
      <c r="Q152" s="114"/>
      <c r="R152" s="114"/>
      <c r="S152" s="114"/>
      <c r="T152" s="114"/>
      <c r="U152" s="114"/>
      <c r="V152" s="114"/>
      <c r="W152" s="114"/>
      <c r="X152" s="114"/>
      <c r="Y152" s="114"/>
      <c r="Z152" s="114"/>
      <c r="AA152" s="114"/>
      <c r="AB152" s="114"/>
      <c r="AC152" s="114"/>
      <c r="AD152" s="114"/>
      <c r="AE152" s="114"/>
      <c r="AF152" s="114"/>
      <c r="AG152" s="114"/>
      <c r="AH152" s="114"/>
      <c r="AI152" s="114"/>
      <c r="AJ152" s="114"/>
      <c r="AK152" s="114"/>
      <c r="AL152" s="114"/>
      <c r="AM152" s="114"/>
      <c r="AN152" s="114"/>
      <c r="AO152" s="114"/>
      <c r="AP152" s="114"/>
      <c r="AQ152" s="114"/>
      <c r="AR152" s="114"/>
      <c r="AS152" s="114"/>
      <c r="AT152" s="114"/>
      <c r="AU152" s="114"/>
      <c r="AV152" s="114"/>
      <c r="AW152" s="114"/>
      <c r="AX152" s="114"/>
      <c r="AY152" s="114"/>
    </row>
    <row r="153" spans="1:51" x14ac:dyDescent="0.3">
      <c r="A153" s="114"/>
      <c r="B153" s="114"/>
      <c r="C153" s="114"/>
      <c r="D153" s="114"/>
      <c r="E153" s="114"/>
      <c r="F153" s="114"/>
      <c r="G153" s="114"/>
      <c r="H153" s="114"/>
      <c r="I153" s="114"/>
      <c r="J153" s="114"/>
      <c r="K153" s="114"/>
      <c r="L153" s="114"/>
      <c r="M153" s="114"/>
      <c r="N153" s="114"/>
      <c r="O153" s="114"/>
      <c r="P153" s="114"/>
      <c r="Q153" s="114"/>
      <c r="R153" s="114"/>
      <c r="S153" s="114"/>
      <c r="T153" s="114"/>
      <c r="U153" s="114"/>
      <c r="V153" s="114"/>
      <c r="W153" s="114"/>
      <c r="X153" s="114"/>
      <c r="Y153" s="114"/>
      <c r="Z153" s="114"/>
      <c r="AA153" s="114"/>
      <c r="AB153" s="114"/>
      <c r="AC153" s="114"/>
      <c r="AD153" s="114"/>
      <c r="AE153" s="114"/>
      <c r="AF153" s="114"/>
      <c r="AG153" s="114"/>
      <c r="AH153" s="114"/>
      <c r="AI153" s="114"/>
      <c r="AJ153" s="114"/>
      <c r="AK153" s="114"/>
      <c r="AL153" s="114"/>
      <c r="AM153" s="114"/>
      <c r="AN153" s="114"/>
      <c r="AO153" s="114"/>
      <c r="AP153" s="114"/>
      <c r="AQ153" s="114"/>
      <c r="AR153" s="114"/>
      <c r="AS153" s="114"/>
      <c r="AT153" s="114"/>
      <c r="AU153" s="114"/>
      <c r="AV153" s="114"/>
      <c r="AW153" s="114"/>
      <c r="AX153" s="114"/>
      <c r="AY153" s="114"/>
    </row>
    <row r="154" spans="1:51" x14ac:dyDescent="0.3">
      <c r="A154" s="114"/>
      <c r="B154" s="114"/>
      <c r="C154" s="114"/>
      <c r="D154" s="114"/>
      <c r="E154" s="114"/>
      <c r="F154" s="114"/>
      <c r="G154" s="114"/>
      <c r="H154" s="114"/>
      <c r="I154" s="114"/>
      <c r="J154" s="114"/>
      <c r="K154" s="114"/>
      <c r="L154" s="114"/>
      <c r="M154" s="114"/>
      <c r="N154" s="114"/>
      <c r="O154" s="114"/>
      <c r="P154" s="114"/>
      <c r="Q154" s="114"/>
      <c r="R154" s="114"/>
      <c r="S154" s="114"/>
      <c r="T154" s="114"/>
      <c r="U154" s="114"/>
      <c r="V154" s="114"/>
      <c r="W154" s="114"/>
      <c r="X154" s="114"/>
      <c r="Y154" s="114"/>
      <c r="Z154" s="114"/>
      <c r="AA154" s="114"/>
      <c r="AB154" s="114"/>
      <c r="AC154" s="114"/>
      <c r="AD154" s="114"/>
      <c r="AE154" s="114"/>
      <c r="AF154" s="114"/>
      <c r="AG154" s="114"/>
      <c r="AH154" s="114"/>
      <c r="AI154" s="114"/>
      <c r="AJ154" s="114"/>
      <c r="AK154" s="114"/>
      <c r="AL154" s="114"/>
      <c r="AM154" s="114"/>
      <c r="AN154" s="114"/>
      <c r="AO154" s="114"/>
      <c r="AP154" s="114"/>
      <c r="AQ154" s="114"/>
      <c r="AR154" s="114"/>
      <c r="AS154" s="114"/>
      <c r="AT154" s="114"/>
      <c r="AU154" s="114"/>
      <c r="AV154" s="114"/>
      <c r="AW154" s="114"/>
      <c r="AX154" s="114"/>
      <c r="AY154" s="114"/>
    </row>
    <row r="155" spans="1:51" x14ac:dyDescent="0.3">
      <c r="A155" s="114"/>
      <c r="B155" s="114"/>
      <c r="C155" s="114"/>
      <c r="D155" s="114"/>
      <c r="E155" s="114"/>
      <c r="F155" s="114"/>
      <c r="G155" s="114"/>
      <c r="H155" s="114"/>
      <c r="I155" s="114"/>
      <c r="J155" s="114"/>
      <c r="K155" s="114"/>
      <c r="L155" s="114"/>
      <c r="M155" s="114"/>
      <c r="N155" s="114"/>
      <c r="O155" s="114"/>
      <c r="P155" s="114"/>
      <c r="Q155" s="114"/>
      <c r="R155" s="114"/>
      <c r="S155" s="114"/>
      <c r="T155" s="114"/>
      <c r="U155" s="114"/>
      <c r="V155" s="114"/>
      <c r="W155" s="114"/>
      <c r="X155" s="114"/>
      <c r="Y155" s="114"/>
      <c r="Z155" s="114"/>
      <c r="AA155" s="114"/>
      <c r="AB155" s="114"/>
      <c r="AC155" s="114"/>
      <c r="AD155" s="114"/>
      <c r="AE155" s="114"/>
      <c r="AF155" s="114"/>
      <c r="AG155" s="114"/>
      <c r="AH155" s="114"/>
      <c r="AI155" s="114"/>
      <c r="AJ155" s="114"/>
      <c r="AK155" s="114"/>
      <c r="AL155" s="114"/>
      <c r="AM155" s="114"/>
      <c r="AN155" s="114"/>
      <c r="AO155" s="114"/>
      <c r="AP155" s="114"/>
      <c r="AQ155" s="114"/>
      <c r="AR155" s="114"/>
      <c r="AS155" s="114"/>
      <c r="AT155" s="114"/>
      <c r="AU155" s="114"/>
      <c r="AV155" s="114"/>
      <c r="AW155" s="114"/>
      <c r="AX155" s="114"/>
      <c r="AY155" s="114"/>
    </row>
    <row r="156" spans="1:51" x14ac:dyDescent="0.3">
      <c r="A156" s="114"/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Z156" s="114"/>
      <c r="AA156" s="114"/>
      <c r="AB156" s="114"/>
      <c r="AC156" s="114"/>
      <c r="AD156" s="114"/>
      <c r="AE156" s="114"/>
      <c r="AF156" s="114"/>
      <c r="AG156" s="114"/>
      <c r="AH156" s="114"/>
      <c r="AI156" s="114"/>
      <c r="AJ156" s="114"/>
      <c r="AK156" s="114"/>
      <c r="AL156" s="114"/>
      <c r="AM156" s="114"/>
      <c r="AN156" s="114"/>
      <c r="AO156" s="114"/>
      <c r="AP156" s="114"/>
      <c r="AQ156" s="114"/>
      <c r="AR156" s="114"/>
      <c r="AS156" s="114"/>
      <c r="AT156" s="114"/>
      <c r="AU156" s="114"/>
      <c r="AV156" s="114"/>
      <c r="AW156" s="114"/>
      <c r="AX156" s="114"/>
      <c r="AY156" s="114"/>
    </row>
    <row r="157" spans="1:51" x14ac:dyDescent="0.3">
      <c r="A157" s="114"/>
      <c r="B157" s="114"/>
      <c r="C157" s="114"/>
      <c r="D157" s="114"/>
      <c r="E157" s="114"/>
      <c r="F157" s="114"/>
      <c r="G157" s="114"/>
      <c r="H157" s="114"/>
      <c r="I157" s="114"/>
      <c r="J157" s="114"/>
      <c r="K157" s="114"/>
      <c r="L157" s="114"/>
      <c r="M157" s="114"/>
      <c r="N157" s="114"/>
      <c r="O157" s="114"/>
      <c r="P157" s="114"/>
      <c r="Q157" s="114"/>
      <c r="R157" s="114"/>
      <c r="S157" s="114"/>
      <c r="T157" s="114"/>
      <c r="U157" s="114"/>
      <c r="V157" s="114"/>
      <c r="W157" s="114"/>
      <c r="X157" s="114"/>
      <c r="Y157" s="114"/>
      <c r="Z157" s="114"/>
      <c r="AA157" s="114"/>
      <c r="AB157" s="114"/>
      <c r="AC157" s="114"/>
      <c r="AD157" s="114"/>
      <c r="AE157" s="114"/>
      <c r="AF157" s="114"/>
      <c r="AG157" s="114"/>
      <c r="AH157" s="114"/>
      <c r="AI157" s="114"/>
      <c r="AJ157" s="114"/>
      <c r="AK157" s="114"/>
      <c r="AL157" s="114"/>
      <c r="AM157" s="114"/>
      <c r="AN157" s="114"/>
      <c r="AO157" s="114"/>
      <c r="AP157" s="114"/>
      <c r="AQ157" s="114"/>
      <c r="AR157" s="114"/>
      <c r="AS157" s="114"/>
      <c r="AT157" s="114"/>
      <c r="AU157" s="114"/>
      <c r="AV157" s="114"/>
      <c r="AW157" s="114"/>
      <c r="AX157" s="114"/>
      <c r="AY157" s="114"/>
    </row>
    <row r="158" spans="1:51" x14ac:dyDescent="0.3">
      <c r="A158" s="114"/>
      <c r="B158" s="114"/>
      <c r="C158" s="114"/>
      <c r="D158" s="114"/>
      <c r="E158" s="114"/>
      <c r="F158" s="114"/>
      <c r="G158" s="114"/>
      <c r="H158" s="114"/>
      <c r="I158" s="114"/>
      <c r="J158" s="114"/>
      <c r="K158" s="114"/>
      <c r="L158" s="114"/>
      <c r="M158" s="114"/>
      <c r="N158" s="114"/>
      <c r="O158" s="114"/>
      <c r="P158" s="114"/>
      <c r="Q158" s="114"/>
      <c r="R158" s="114"/>
      <c r="S158" s="114"/>
      <c r="T158" s="114"/>
      <c r="U158" s="114"/>
      <c r="V158" s="114"/>
      <c r="W158" s="114"/>
      <c r="X158" s="114"/>
      <c r="Y158" s="114"/>
      <c r="Z158" s="114"/>
      <c r="AA158" s="114"/>
      <c r="AB158" s="114"/>
      <c r="AC158" s="114"/>
      <c r="AD158" s="114"/>
      <c r="AE158" s="114"/>
      <c r="AF158" s="114"/>
      <c r="AG158" s="114"/>
      <c r="AH158" s="114"/>
      <c r="AI158" s="114"/>
      <c r="AJ158" s="114"/>
      <c r="AK158" s="114"/>
      <c r="AL158" s="114"/>
      <c r="AM158" s="114"/>
      <c r="AN158" s="114"/>
      <c r="AO158" s="114"/>
      <c r="AP158" s="114"/>
      <c r="AQ158" s="114"/>
      <c r="AR158" s="114"/>
      <c r="AS158" s="114"/>
      <c r="AT158" s="114"/>
      <c r="AU158" s="114"/>
      <c r="AV158" s="114"/>
      <c r="AW158" s="114"/>
      <c r="AX158" s="114"/>
      <c r="AY158" s="114"/>
    </row>
    <row r="159" spans="1:51" x14ac:dyDescent="0.3">
      <c r="A159" s="114"/>
      <c r="B159" s="114"/>
      <c r="C159" s="114"/>
      <c r="D159" s="114"/>
      <c r="E159" s="114"/>
      <c r="F159" s="114"/>
      <c r="G159" s="114"/>
      <c r="H159" s="114"/>
      <c r="I159" s="114"/>
      <c r="J159" s="114"/>
      <c r="K159" s="114"/>
      <c r="L159" s="114"/>
      <c r="M159" s="114"/>
      <c r="N159" s="114"/>
      <c r="O159" s="114"/>
      <c r="P159" s="114"/>
      <c r="Q159" s="114"/>
      <c r="R159" s="114"/>
      <c r="S159" s="114"/>
      <c r="T159" s="114"/>
      <c r="U159" s="114"/>
      <c r="V159" s="114"/>
      <c r="W159" s="114"/>
      <c r="X159" s="114"/>
      <c r="Y159" s="114"/>
      <c r="Z159" s="114"/>
      <c r="AA159" s="114"/>
      <c r="AB159" s="114"/>
      <c r="AC159" s="114"/>
      <c r="AD159" s="114"/>
      <c r="AE159" s="114"/>
      <c r="AF159" s="114"/>
      <c r="AG159" s="114"/>
      <c r="AH159" s="114"/>
      <c r="AI159" s="114"/>
      <c r="AJ159" s="114"/>
      <c r="AK159" s="114"/>
      <c r="AL159" s="114"/>
      <c r="AM159" s="114"/>
      <c r="AN159" s="114"/>
      <c r="AO159" s="114"/>
      <c r="AP159" s="114"/>
      <c r="AQ159" s="114"/>
      <c r="AR159" s="114"/>
      <c r="AS159" s="114"/>
      <c r="AT159" s="114"/>
      <c r="AU159" s="114"/>
      <c r="AV159" s="114"/>
      <c r="AW159" s="114"/>
      <c r="AX159" s="114"/>
      <c r="AY159" s="114"/>
    </row>
    <row r="160" spans="1:51" x14ac:dyDescent="0.3">
      <c r="A160" s="114"/>
      <c r="B160" s="114"/>
      <c r="C160" s="114"/>
      <c r="D160" s="114"/>
      <c r="E160" s="114"/>
      <c r="F160" s="114"/>
      <c r="G160" s="114"/>
      <c r="H160" s="114"/>
      <c r="I160" s="114"/>
      <c r="J160" s="114"/>
      <c r="K160" s="114"/>
      <c r="L160" s="114"/>
      <c r="M160" s="114"/>
      <c r="N160" s="114"/>
      <c r="O160" s="114"/>
      <c r="P160" s="114"/>
      <c r="Q160" s="114"/>
      <c r="R160" s="114"/>
      <c r="S160" s="114"/>
      <c r="T160" s="114"/>
      <c r="U160" s="114"/>
      <c r="V160" s="114"/>
      <c r="W160" s="114"/>
      <c r="X160" s="114"/>
      <c r="Y160" s="114"/>
      <c r="Z160" s="114"/>
      <c r="AA160" s="114"/>
      <c r="AB160" s="114"/>
      <c r="AC160" s="114"/>
      <c r="AD160" s="114"/>
      <c r="AE160" s="114"/>
      <c r="AF160" s="114"/>
      <c r="AG160" s="114"/>
      <c r="AH160" s="114"/>
      <c r="AI160" s="114"/>
      <c r="AJ160" s="114"/>
      <c r="AK160" s="114"/>
      <c r="AL160" s="114"/>
      <c r="AM160" s="114"/>
      <c r="AN160" s="114"/>
      <c r="AO160" s="114"/>
      <c r="AP160" s="114"/>
      <c r="AQ160" s="114"/>
      <c r="AR160" s="114"/>
      <c r="AS160" s="114"/>
      <c r="AT160" s="114"/>
      <c r="AU160" s="114"/>
      <c r="AV160" s="114"/>
      <c r="AW160" s="114"/>
      <c r="AX160" s="114"/>
      <c r="AY160" s="114"/>
    </row>
    <row r="161" spans="1:51" x14ac:dyDescent="0.3">
      <c r="A161" s="114"/>
      <c r="B161" s="114"/>
      <c r="C161" s="114"/>
      <c r="D161" s="114"/>
      <c r="E161" s="114"/>
      <c r="F161" s="114"/>
      <c r="G161" s="114"/>
      <c r="H161" s="114"/>
      <c r="I161" s="114"/>
      <c r="J161" s="114"/>
      <c r="K161" s="114"/>
      <c r="L161" s="114"/>
      <c r="M161" s="114"/>
      <c r="N161" s="114"/>
      <c r="O161" s="114"/>
      <c r="P161" s="114"/>
      <c r="Q161" s="114"/>
      <c r="R161" s="114"/>
      <c r="S161" s="114"/>
      <c r="T161" s="114"/>
      <c r="U161" s="114"/>
      <c r="V161" s="114"/>
      <c r="W161" s="114"/>
      <c r="X161" s="114"/>
      <c r="Y161" s="114"/>
      <c r="Z161" s="114"/>
      <c r="AA161" s="114"/>
      <c r="AB161" s="114"/>
      <c r="AC161" s="114"/>
      <c r="AD161" s="114"/>
      <c r="AE161" s="114"/>
      <c r="AF161" s="114"/>
      <c r="AG161" s="114"/>
      <c r="AH161" s="114"/>
      <c r="AI161" s="114"/>
      <c r="AJ161" s="114"/>
      <c r="AK161" s="114"/>
      <c r="AL161" s="114"/>
      <c r="AM161" s="114"/>
      <c r="AN161" s="114"/>
      <c r="AO161" s="114"/>
      <c r="AP161" s="114"/>
      <c r="AQ161" s="114"/>
      <c r="AR161" s="114"/>
      <c r="AS161" s="114"/>
      <c r="AT161" s="114"/>
      <c r="AU161" s="114"/>
      <c r="AV161" s="114"/>
      <c r="AW161" s="114"/>
      <c r="AX161" s="114"/>
      <c r="AY161" s="114"/>
    </row>
    <row r="162" spans="1:51" x14ac:dyDescent="0.3">
      <c r="A162" s="114"/>
      <c r="B162" s="114"/>
      <c r="C162" s="114"/>
      <c r="D162" s="114"/>
      <c r="E162" s="114"/>
      <c r="F162" s="114"/>
      <c r="G162" s="114"/>
      <c r="H162" s="114"/>
      <c r="I162" s="114"/>
      <c r="J162" s="114"/>
      <c r="K162" s="114"/>
      <c r="L162" s="114"/>
      <c r="M162" s="114"/>
      <c r="N162" s="114"/>
      <c r="O162" s="114"/>
      <c r="P162" s="114"/>
      <c r="Q162" s="114"/>
      <c r="R162" s="114"/>
      <c r="S162" s="114"/>
      <c r="T162" s="114"/>
      <c r="U162" s="114"/>
      <c r="V162" s="114"/>
      <c r="W162" s="114"/>
      <c r="X162" s="114"/>
      <c r="Y162" s="114"/>
      <c r="Z162" s="114"/>
      <c r="AA162" s="114"/>
      <c r="AB162" s="114"/>
      <c r="AC162" s="114"/>
      <c r="AD162" s="114"/>
      <c r="AE162" s="114"/>
      <c r="AF162" s="114"/>
      <c r="AG162" s="114"/>
      <c r="AH162" s="114"/>
      <c r="AI162" s="114"/>
      <c r="AJ162" s="114"/>
      <c r="AK162" s="114"/>
      <c r="AL162" s="114"/>
      <c r="AM162" s="114"/>
      <c r="AN162" s="114"/>
      <c r="AO162" s="114"/>
      <c r="AP162" s="114"/>
      <c r="AQ162" s="114"/>
      <c r="AR162" s="114"/>
      <c r="AS162" s="114"/>
      <c r="AT162" s="114"/>
      <c r="AU162" s="114"/>
      <c r="AV162" s="114"/>
      <c r="AW162" s="114"/>
      <c r="AX162" s="114"/>
      <c r="AY162" s="114"/>
    </row>
    <row r="163" spans="1:51" x14ac:dyDescent="0.3">
      <c r="A163" s="114"/>
      <c r="B163" s="114"/>
      <c r="C163" s="114"/>
      <c r="D163" s="114"/>
      <c r="E163" s="114"/>
      <c r="F163" s="114"/>
      <c r="G163" s="114"/>
      <c r="H163" s="114"/>
      <c r="I163" s="114"/>
      <c r="J163" s="114"/>
      <c r="K163" s="114"/>
      <c r="L163" s="114"/>
      <c r="M163" s="114"/>
      <c r="N163" s="114"/>
      <c r="O163" s="114"/>
      <c r="P163" s="114"/>
      <c r="Q163" s="114"/>
      <c r="R163" s="114"/>
      <c r="S163" s="114"/>
      <c r="T163" s="114"/>
      <c r="U163" s="114"/>
      <c r="V163" s="114"/>
      <c r="W163" s="114"/>
      <c r="X163" s="114"/>
      <c r="Y163" s="114"/>
      <c r="Z163" s="114"/>
      <c r="AA163" s="114"/>
      <c r="AB163" s="114"/>
      <c r="AC163" s="114"/>
      <c r="AD163" s="114"/>
      <c r="AE163" s="114"/>
      <c r="AF163" s="114"/>
      <c r="AG163" s="114"/>
      <c r="AH163" s="114"/>
      <c r="AI163" s="114"/>
      <c r="AJ163" s="114"/>
      <c r="AK163" s="114"/>
      <c r="AL163" s="114"/>
      <c r="AM163" s="114"/>
      <c r="AN163" s="114"/>
      <c r="AO163" s="114"/>
      <c r="AP163" s="114"/>
      <c r="AQ163" s="114"/>
      <c r="AR163" s="114"/>
      <c r="AS163" s="114"/>
      <c r="AT163" s="114"/>
      <c r="AU163" s="114"/>
      <c r="AV163" s="114"/>
      <c r="AW163" s="114"/>
      <c r="AX163" s="114"/>
      <c r="AY163" s="114"/>
    </row>
    <row r="164" spans="1:51" x14ac:dyDescent="0.3">
      <c r="A164" s="114"/>
      <c r="B164" s="114"/>
      <c r="C164" s="114"/>
      <c r="D164" s="114"/>
      <c r="E164" s="114"/>
      <c r="F164" s="114"/>
      <c r="G164" s="114"/>
      <c r="H164" s="114"/>
      <c r="I164" s="114"/>
      <c r="J164" s="114"/>
      <c r="K164" s="114"/>
      <c r="L164" s="114"/>
      <c r="M164" s="114"/>
      <c r="N164" s="114"/>
      <c r="O164" s="114"/>
      <c r="P164" s="114"/>
      <c r="Q164" s="114"/>
      <c r="R164" s="114"/>
      <c r="S164" s="114"/>
      <c r="T164" s="114"/>
      <c r="U164" s="114"/>
      <c r="V164" s="114"/>
      <c r="W164" s="114"/>
      <c r="X164" s="114"/>
      <c r="Y164" s="114"/>
      <c r="Z164" s="114"/>
      <c r="AA164" s="114"/>
      <c r="AB164" s="114"/>
      <c r="AC164" s="114"/>
      <c r="AD164" s="114"/>
      <c r="AE164" s="114"/>
      <c r="AF164" s="114"/>
      <c r="AG164" s="114"/>
      <c r="AH164" s="114"/>
      <c r="AI164" s="114"/>
      <c r="AJ164" s="114"/>
      <c r="AK164" s="114"/>
      <c r="AL164" s="114"/>
      <c r="AM164" s="114"/>
      <c r="AN164" s="114"/>
      <c r="AO164" s="114"/>
      <c r="AP164" s="114"/>
      <c r="AQ164" s="114"/>
      <c r="AR164" s="114"/>
      <c r="AS164" s="114"/>
      <c r="AT164" s="114"/>
      <c r="AU164" s="114"/>
      <c r="AV164" s="114"/>
      <c r="AW164" s="114"/>
      <c r="AX164" s="114"/>
      <c r="AY164" s="114"/>
    </row>
    <row r="165" spans="1:51" x14ac:dyDescent="0.3">
      <c r="A165" s="114"/>
      <c r="B165" s="114"/>
      <c r="C165" s="114"/>
      <c r="D165" s="114"/>
      <c r="E165" s="114"/>
      <c r="F165" s="114"/>
      <c r="G165" s="114"/>
      <c r="H165" s="114"/>
      <c r="I165" s="114"/>
      <c r="J165" s="114"/>
      <c r="K165" s="114"/>
      <c r="L165" s="114"/>
      <c r="M165" s="114"/>
      <c r="N165" s="114"/>
      <c r="O165" s="114"/>
      <c r="P165" s="114"/>
      <c r="Q165" s="114"/>
      <c r="R165" s="114"/>
      <c r="S165" s="114"/>
      <c r="T165" s="114"/>
      <c r="U165" s="114"/>
      <c r="V165" s="114"/>
      <c r="W165" s="114"/>
      <c r="X165" s="114"/>
      <c r="Y165" s="114"/>
      <c r="Z165" s="114"/>
      <c r="AA165" s="114"/>
      <c r="AB165" s="114"/>
      <c r="AC165" s="114"/>
      <c r="AD165" s="114"/>
      <c r="AE165" s="114"/>
      <c r="AF165" s="114"/>
      <c r="AG165" s="114"/>
      <c r="AH165" s="114"/>
      <c r="AI165" s="114"/>
      <c r="AJ165" s="114"/>
      <c r="AK165" s="114"/>
      <c r="AL165" s="114"/>
      <c r="AM165" s="114"/>
      <c r="AN165" s="114"/>
      <c r="AO165" s="114"/>
      <c r="AP165" s="114"/>
      <c r="AQ165" s="114"/>
      <c r="AR165" s="114"/>
      <c r="AS165" s="114"/>
      <c r="AT165" s="114"/>
      <c r="AU165" s="114"/>
      <c r="AV165" s="114"/>
      <c r="AW165" s="114"/>
      <c r="AX165" s="114"/>
      <c r="AY165" s="114"/>
    </row>
    <row r="166" spans="1:51" x14ac:dyDescent="0.3">
      <c r="A166" s="114"/>
      <c r="B166" s="114"/>
      <c r="C166" s="114"/>
      <c r="D166" s="114"/>
      <c r="E166" s="114"/>
      <c r="F166" s="114"/>
      <c r="G166" s="114"/>
      <c r="H166" s="114"/>
      <c r="I166" s="114"/>
      <c r="J166" s="114"/>
      <c r="K166" s="114"/>
      <c r="L166" s="114"/>
      <c r="M166" s="114"/>
      <c r="N166" s="114"/>
      <c r="O166" s="114"/>
      <c r="P166" s="114"/>
      <c r="Q166" s="114"/>
      <c r="R166" s="114"/>
      <c r="S166" s="114"/>
      <c r="T166" s="114"/>
      <c r="U166" s="114"/>
      <c r="V166" s="114"/>
      <c r="W166" s="114"/>
      <c r="X166" s="114"/>
      <c r="Y166" s="114"/>
      <c r="Z166" s="114"/>
      <c r="AA166" s="114"/>
      <c r="AB166" s="114"/>
      <c r="AC166" s="114"/>
      <c r="AD166" s="114"/>
      <c r="AE166" s="114"/>
      <c r="AF166" s="114"/>
      <c r="AG166" s="114"/>
      <c r="AH166" s="114"/>
      <c r="AI166" s="114"/>
      <c r="AJ166" s="114"/>
      <c r="AK166" s="114"/>
      <c r="AL166" s="114"/>
      <c r="AM166" s="114"/>
      <c r="AN166" s="114"/>
      <c r="AO166" s="114"/>
      <c r="AP166" s="114"/>
      <c r="AQ166" s="114"/>
      <c r="AR166" s="114"/>
      <c r="AS166" s="114"/>
      <c r="AT166" s="114"/>
      <c r="AU166" s="114"/>
      <c r="AV166" s="114"/>
      <c r="AW166" s="114"/>
      <c r="AX166" s="114"/>
      <c r="AY166" s="114"/>
    </row>
    <row r="167" spans="1:51" x14ac:dyDescent="0.3">
      <c r="A167" s="114"/>
      <c r="B167" s="114"/>
      <c r="C167" s="114"/>
      <c r="D167" s="114"/>
      <c r="E167" s="114"/>
      <c r="F167" s="114"/>
      <c r="G167" s="114"/>
      <c r="H167" s="114"/>
      <c r="I167" s="114"/>
      <c r="J167" s="114"/>
      <c r="K167" s="114"/>
      <c r="L167" s="114"/>
      <c r="M167" s="114"/>
      <c r="N167" s="114"/>
      <c r="O167" s="114"/>
      <c r="P167" s="114"/>
      <c r="Q167" s="114"/>
      <c r="R167" s="114"/>
      <c r="S167" s="114"/>
      <c r="T167" s="114"/>
      <c r="U167" s="114"/>
      <c r="V167" s="114"/>
      <c r="W167" s="114"/>
      <c r="X167" s="114"/>
      <c r="Y167" s="114"/>
      <c r="Z167" s="114"/>
      <c r="AA167" s="114"/>
      <c r="AB167" s="114"/>
      <c r="AC167" s="114"/>
      <c r="AD167" s="114"/>
      <c r="AE167" s="114"/>
      <c r="AF167" s="114"/>
      <c r="AG167" s="114"/>
      <c r="AH167" s="114"/>
      <c r="AI167" s="114"/>
      <c r="AJ167" s="114"/>
      <c r="AK167" s="114"/>
      <c r="AL167" s="114"/>
      <c r="AM167" s="114"/>
      <c r="AN167" s="114"/>
      <c r="AO167" s="114"/>
      <c r="AP167" s="114"/>
      <c r="AQ167" s="114"/>
      <c r="AR167" s="114"/>
      <c r="AS167" s="114"/>
      <c r="AT167" s="114"/>
      <c r="AU167" s="114"/>
      <c r="AV167" s="114"/>
      <c r="AW167" s="114"/>
      <c r="AX167" s="114"/>
      <c r="AY167" s="114"/>
    </row>
    <row r="168" spans="1:51" x14ac:dyDescent="0.3">
      <c r="A168" s="114"/>
      <c r="B168" s="114"/>
      <c r="C168" s="114"/>
      <c r="D168" s="114"/>
      <c r="E168" s="114"/>
      <c r="F168" s="114"/>
      <c r="G168" s="114"/>
      <c r="H168" s="114"/>
      <c r="I168" s="114"/>
      <c r="J168" s="114"/>
      <c r="K168" s="114"/>
      <c r="L168" s="114"/>
      <c r="M168" s="114"/>
      <c r="N168" s="114"/>
      <c r="O168" s="114"/>
      <c r="P168" s="114"/>
      <c r="Q168" s="114"/>
      <c r="R168" s="114"/>
      <c r="S168" s="114"/>
      <c r="T168" s="114"/>
      <c r="U168" s="114"/>
      <c r="V168" s="114"/>
      <c r="W168" s="114"/>
      <c r="X168" s="114"/>
      <c r="Y168" s="114"/>
      <c r="Z168" s="114"/>
      <c r="AA168" s="114"/>
      <c r="AB168" s="114"/>
      <c r="AC168" s="114"/>
      <c r="AD168" s="114"/>
      <c r="AE168" s="114"/>
      <c r="AF168" s="114"/>
      <c r="AG168" s="114"/>
      <c r="AH168" s="114"/>
      <c r="AI168" s="114"/>
      <c r="AJ168" s="114"/>
      <c r="AK168" s="114"/>
      <c r="AL168" s="114"/>
      <c r="AM168" s="114"/>
      <c r="AN168" s="114"/>
      <c r="AO168" s="114"/>
      <c r="AP168" s="114"/>
      <c r="AQ168" s="114"/>
      <c r="AR168" s="114"/>
      <c r="AS168" s="114"/>
      <c r="AT168" s="114"/>
      <c r="AU168" s="114"/>
      <c r="AV168" s="114"/>
      <c r="AW168" s="114"/>
      <c r="AX168" s="114"/>
      <c r="AY168" s="114"/>
    </row>
    <row r="169" spans="1:51" x14ac:dyDescent="0.3">
      <c r="A169" s="114"/>
      <c r="B169" s="114"/>
      <c r="C169" s="114"/>
      <c r="D169" s="114"/>
      <c r="E169" s="114"/>
      <c r="F169" s="114"/>
      <c r="G169" s="114"/>
      <c r="H169" s="114"/>
      <c r="I169" s="114"/>
      <c r="J169" s="114"/>
      <c r="K169" s="114"/>
      <c r="L169" s="114"/>
      <c r="M169" s="114"/>
      <c r="N169" s="114"/>
      <c r="O169" s="114"/>
      <c r="P169" s="114"/>
      <c r="Q169" s="114"/>
      <c r="R169" s="114"/>
      <c r="S169" s="114"/>
      <c r="T169" s="114"/>
      <c r="U169" s="114"/>
      <c r="V169" s="114"/>
      <c r="W169" s="114"/>
      <c r="X169" s="114"/>
      <c r="Y169" s="114"/>
      <c r="Z169" s="114"/>
      <c r="AA169" s="114"/>
      <c r="AB169" s="114"/>
      <c r="AC169" s="114"/>
      <c r="AD169" s="114"/>
      <c r="AE169" s="114"/>
      <c r="AF169" s="114"/>
      <c r="AG169" s="114"/>
      <c r="AH169" s="114"/>
      <c r="AI169" s="114"/>
      <c r="AJ169" s="114"/>
      <c r="AK169" s="114"/>
      <c r="AL169" s="114"/>
      <c r="AM169" s="114"/>
      <c r="AN169" s="114"/>
      <c r="AO169" s="114"/>
      <c r="AP169" s="114"/>
      <c r="AQ169" s="114"/>
      <c r="AR169" s="114"/>
      <c r="AS169" s="114"/>
      <c r="AT169" s="114"/>
      <c r="AU169" s="114"/>
      <c r="AV169" s="114"/>
      <c r="AW169" s="114"/>
      <c r="AX169" s="114"/>
      <c r="AY169" s="114"/>
    </row>
    <row r="170" spans="1:51" x14ac:dyDescent="0.3">
      <c r="A170" s="114"/>
      <c r="B170" s="114"/>
      <c r="C170" s="114"/>
      <c r="D170" s="114"/>
      <c r="E170" s="114"/>
      <c r="F170" s="114"/>
      <c r="G170" s="114"/>
      <c r="H170" s="114"/>
      <c r="I170" s="114"/>
      <c r="J170" s="114"/>
      <c r="K170" s="114"/>
      <c r="L170" s="114"/>
      <c r="M170" s="114"/>
      <c r="N170" s="114"/>
      <c r="O170" s="114"/>
      <c r="P170" s="114"/>
      <c r="Q170" s="114"/>
      <c r="R170" s="114"/>
      <c r="S170" s="114"/>
      <c r="T170" s="114"/>
      <c r="U170" s="114"/>
      <c r="V170" s="114"/>
      <c r="W170" s="114"/>
      <c r="X170" s="114"/>
      <c r="Y170" s="114"/>
      <c r="Z170" s="114"/>
      <c r="AA170" s="114"/>
      <c r="AB170" s="114"/>
      <c r="AC170" s="114"/>
      <c r="AD170" s="114"/>
      <c r="AE170" s="114"/>
      <c r="AF170" s="114"/>
      <c r="AG170" s="114"/>
      <c r="AH170" s="114"/>
      <c r="AI170" s="114"/>
      <c r="AJ170" s="114"/>
      <c r="AK170" s="114"/>
      <c r="AL170" s="114"/>
      <c r="AM170" s="114"/>
      <c r="AN170" s="114"/>
      <c r="AO170" s="114"/>
      <c r="AP170" s="114"/>
      <c r="AQ170" s="114"/>
      <c r="AR170" s="114"/>
      <c r="AS170" s="114"/>
      <c r="AT170" s="114"/>
      <c r="AU170" s="114"/>
      <c r="AV170" s="114"/>
      <c r="AW170" s="114"/>
      <c r="AX170" s="114"/>
      <c r="AY170" s="114"/>
    </row>
    <row r="171" spans="1:51" x14ac:dyDescent="0.3">
      <c r="A171" s="114"/>
      <c r="B171" s="114"/>
      <c r="C171" s="114"/>
      <c r="D171" s="114"/>
      <c r="E171" s="114"/>
      <c r="F171" s="114"/>
      <c r="G171" s="114"/>
      <c r="H171" s="114"/>
      <c r="I171" s="114"/>
      <c r="J171" s="114"/>
      <c r="K171" s="114"/>
      <c r="L171" s="114"/>
      <c r="M171" s="114"/>
      <c r="N171" s="114"/>
      <c r="O171" s="114"/>
      <c r="P171" s="114"/>
      <c r="Q171" s="114"/>
      <c r="R171" s="114"/>
      <c r="S171" s="114"/>
      <c r="T171" s="114"/>
      <c r="U171" s="114"/>
      <c r="V171" s="114"/>
      <c r="W171" s="114"/>
      <c r="X171" s="114"/>
      <c r="Y171" s="114"/>
      <c r="Z171" s="114"/>
      <c r="AA171" s="114"/>
      <c r="AB171" s="114"/>
      <c r="AC171" s="114"/>
      <c r="AD171" s="114"/>
      <c r="AE171" s="114"/>
      <c r="AF171" s="114"/>
      <c r="AG171" s="114"/>
      <c r="AH171" s="114"/>
      <c r="AI171" s="114"/>
      <c r="AJ171" s="114"/>
      <c r="AK171" s="114"/>
      <c r="AL171" s="114"/>
      <c r="AM171" s="114"/>
      <c r="AN171" s="114"/>
      <c r="AO171" s="114"/>
      <c r="AP171" s="114"/>
      <c r="AQ171" s="114"/>
      <c r="AR171" s="114"/>
      <c r="AS171" s="114"/>
      <c r="AT171" s="114"/>
      <c r="AU171" s="114"/>
      <c r="AV171" s="114"/>
      <c r="AW171" s="114"/>
      <c r="AX171" s="114"/>
      <c r="AY171" s="114"/>
    </row>
    <row r="172" spans="1:51" x14ac:dyDescent="0.3">
      <c r="A172" s="114"/>
      <c r="B172" s="114"/>
      <c r="C172" s="114"/>
      <c r="D172" s="114"/>
      <c r="E172" s="114"/>
      <c r="F172" s="114"/>
      <c r="G172" s="114"/>
      <c r="H172" s="114"/>
      <c r="I172" s="114"/>
      <c r="J172" s="114"/>
      <c r="K172" s="114"/>
      <c r="L172" s="114"/>
      <c r="M172" s="114"/>
      <c r="N172" s="114"/>
      <c r="O172" s="114"/>
      <c r="P172" s="114"/>
      <c r="Q172" s="114"/>
      <c r="R172" s="114"/>
      <c r="S172" s="114"/>
      <c r="T172" s="114"/>
      <c r="U172" s="114"/>
      <c r="V172" s="114"/>
      <c r="W172" s="114"/>
      <c r="X172" s="114"/>
      <c r="Y172" s="114"/>
      <c r="Z172" s="114"/>
      <c r="AA172" s="114"/>
      <c r="AB172" s="114"/>
      <c r="AC172" s="114"/>
      <c r="AD172" s="114"/>
      <c r="AE172" s="114"/>
      <c r="AF172" s="114"/>
      <c r="AG172" s="114"/>
      <c r="AH172" s="114"/>
      <c r="AI172" s="114"/>
      <c r="AJ172" s="114"/>
      <c r="AK172" s="114"/>
      <c r="AL172" s="114"/>
      <c r="AM172" s="114"/>
      <c r="AN172" s="114"/>
      <c r="AO172" s="114"/>
      <c r="AP172" s="114"/>
      <c r="AQ172" s="114"/>
      <c r="AR172" s="114"/>
      <c r="AS172" s="114"/>
      <c r="AT172" s="114"/>
      <c r="AU172" s="114"/>
      <c r="AV172" s="114"/>
      <c r="AW172" s="114"/>
      <c r="AX172" s="114"/>
      <c r="AY172" s="114"/>
    </row>
    <row r="173" spans="1:51" x14ac:dyDescent="0.3">
      <c r="A173" s="114"/>
      <c r="B173" s="114"/>
      <c r="C173" s="114"/>
      <c r="D173" s="114"/>
      <c r="E173" s="114"/>
      <c r="F173" s="114"/>
      <c r="G173" s="114"/>
      <c r="H173" s="114"/>
      <c r="I173" s="114"/>
      <c r="J173" s="114"/>
      <c r="K173" s="114"/>
      <c r="L173" s="114"/>
      <c r="M173" s="114"/>
      <c r="N173" s="114"/>
      <c r="O173" s="114"/>
      <c r="P173" s="114"/>
      <c r="Q173" s="114"/>
      <c r="R173" s="114"/>
      <c r="S173" s="114"/>
      <c r="T173" s="114"/>
      <c r="U173" s="114"/>
      <c r="V173" s="114"/>
      <c r="W173" s="114"/>
      <c r="X173" s="114"/>
      <c r="Y173" s="114"/>
      <c r="Z173" s="114"/>
      <c r="AA173" s="114"/>
      <c r="AB173" s="114"/>
      <c r="AC173" s="114"/>
      <c r="AD173" s="114"/>
      <c r="AE173" s="114"/>
      <c r="AF173" s="114"/>
      <c r="AG173" s="114"/>
      <c r="AH173" s="114"/>
      <c r="AI173" s="114"/>
      <c r="AJ173" s="114"/>
      <c r="AK173" s="114"/>
      <c r="AL173" s="114"/>
      <c r="AM173" s="114"/>
      <c r="AN173" s="114"/>
      <c r="AO173" s="114"/>
      <c r="AP173" s="114"/>
      <c r="AQ173" s="114"/>
      <c r="AR173" s="114"/>
      <c r="AS173" s="114"/>
      <c r="AT173" s="114"/>
      <c r="AU173" s="114"/>
      <c r="AV173" s="114"/>
      <c r="AW173" s="114"/>
      <c r="AX173" s="114"/>
      <c r="AY173" s="114"/>
    </row>
    <row r="174" spans="1:51" x14ac:dyDescent="0.3">
      <c r="A174" s="114"/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Z174" s="114"/>
      <c r="AA174" s="114"/>
      <c r="AB174" s="114"/>
      <c r="AC174" s="114"/>
      <c r="AD174" s="114"/>
      <c r="AE174" s="114"/>
      <c r="AF174" s="114"/>
      <c r="AG174" s="114"/>
      <c r="AH174" s="114"/>
      <c r="AI174" s="114"/>
      <c r="AJ174" s="114"/>
      <c r="AK174" s="114"/>
      <c r="AL174" s="114"/>
      <c r="AM174" s="114"/>
      <c r="AN174" s="114"/>
      <c r="AO174" s="114"/>
      <c r="AP174" s="114"/>
      <c r="AQ174" s="114"/>
      <c r="AR174" s="114"/>
      <c r="AS174" s="114"/>
      <c r="AT174" s="114"/>
      <c r="AU174" s="114"/>
      <c r="AV174" s="114"/>
      <c r="AW174" s="114"/>
      <c r="AX174" s="114"/>
      <c r="AY174" s="114"/>
    </row>
    <row r="175" spans="1:51" x14ac:dyDescent="0.3">
      <c r="A175" s="114"/>
      <c r="B175" s="114"/>
      <c r="C175" s="114"/>
      <c r="D175" s="114"/>
      <c r="E175" s="114"/>
      <c r="F175" s="114"/>
      <c r="G175" s="114"/>
      <c r="H175" s="114"/>
      <c r="I175" s="114"/>
      <c r="J175" s="114"/>
      <c r="K175" s="114"/>
      <c r="L175" s="114"/>
      <c r="M175" s="114"/>
      <c r="N175" s="114"/>
      <c r="O175" s="114"/>
      <c r="P175" s="114"/>
      <c r="Q175" s="114"/>
      <c r="R175" s="114"/>
      <c r="S175" s="114"/>
      <c r="T175" s="114"/>
      <c r="U175" s="114"/>
      <c r="V175" s="114"/>
      <c r="W175" s="114"/>
      <c r="X175" s="114"/>
      <c r="Y175" s="114"/>
      <c r="Z175" s="114"/>
      <c r="AA175" s="114"/>
      <c r="AB175" s="114"/>
      <c r="AC175" s="114"/>
      <c r="AD175" s="114"/>
      <c r="AE175" s="114"/>
      <c r="AF175" s="114"/>
      <c r="AG175" s="114"/>
      <c r="AH175" s="114"/>
      <c r="AI175" s="114"/>
      <c r="AJ175" s="114"/>
      <c r="AK175" s="114"/>
      <c r="AL175" s="114"/>
      <c r="AM175" s="114"/>
      <c r="AN175" s="114"/>
      <c r="AO175" s="114"/>
      <c r="AP175" s="114"/>
      <c r="AQ175" s="114"/>
      <c r="AR175" s="114"/>
      <c r="AS175" s="114"/>
      <c r="AT175" s="114"/>
      <c r="AU175" s="114"/>
      <c r="AV175" s="114"/>
      <c r="AW175" s="114"/>
      <c r="AX175" s="114"/>
      <c r="AY175" s="114"/>
    </row>
    <row r="176" spans="1:51" x14ac:dyDescent="0.3">
      <c r="A176" s="114"/>
      <c r="B176" s="114"/>
      <c r="C176" s="114"/>
      <c r="D176" s="114"/>
      <c r="E176" s="114"/>
      <c r="F176" s="114"/>
      <c r="G176" s="114"/>
      <c r="H176" s="114"/>
      <c r="I176" s="114"/>
      <c r="J176" s="114"/>
      <c r="K176" s="114"/>
      <c r="L176" s="114"/>
      <c r="M176" s="114"/>
      <c r="N176" s="114"/>
      <c r="O176" s="114"/>
      <c r="P176" s="114"/>
      <c r="Q176" s="114"/>
      <c r="R176" s="114"/>
      <c r="S176" s="114"/>
      <c r="T176" s="114"/>
      <c r="U176" s="114"/>
      <c r="V176" s="114"/>
      <c r="W176" s="114"/>
      <c r="X176" s="114"/>
      <c r="Y176" s="114"/>
      <c r="Z176" s="114"/>
      <c r="AA176" s="114"/>
      <c r="AB176" s="114"/>
      <c r="AC176" s="114"/>
      <c r="AD176" s="114"/>
      <c r="AE176" s="114"/>
      <c r="AF176" s="114"/>
      <c r="AG176" s="114"/>
      <c r="AH176" s="114"/>
      <c r="AI176" s="114"/>
      <c r="AJ176" s="114"/>
      <c r="AK176" s="114"/>
      <c r="AL176" s="114"/>
      <c r="AM176" s="114"/>
      <c r="AN176" s="114"/>
      <c r="AO176" s="114"/>
      <c r="AP176" s="114"/>
      <c r="AQ176" s="114"/>
      <c r="AR176" s="114"/>
      <c r="AS176" s="114"/>
      <c r="AT176" s="114"/>
      <c r="AU176" s="114"/>
      <c r="AV176" s="114"/>
      <c r="AW176" s="114"/>
      <c r="AX176" s="114"/>
      <c r="AY176" s="114"/>
    </row>
    <row r="177" spans="1:51" x14ac:dyDescent="0.3">
      <c r="A177" s="114"/>
      <c r="B177" s="114"/>
      <c r="C177" s="114"/>
      <c r="D177" s="114"/>
      <c r="E177" s="114"/>
      <c r="F177" s="114"/>
      <c r="G177" s="114"/>
      <c r="H177" s="114"/>
      <c r="I177" s="114"/>
      <c r="J177" s="114"/>
      <c r="K177" s="114"/>
      <c r="L177" s="114"/>
      <c r="M177" s="114"/>
      <c r="N177" s="114"/>
      <c r="O177" s="114"/>
      <c r="P177" s="114"/>
      <c r="Q177" s="114"/>
      <c r="R177" s="114"/>
      <c r="S177" s="114"/>
      <c r="T177" s="114"/>
      <c r="U177" s="114"/>
      <c r="V177" s="114"/>
      <c r="W177" s="114"/>
      <c r="X177" s="114"/>
      <c r="Y177" s="114"/>
      <c r="Z177" s="114"/>
      <c r="AA177" s="114"/>
      <c r="AB177" s="114"/>
      <c r="AC177" s="114"/>
      <c r="AD177" s="114"/>
      <c r="AE177" s="114"/>
      <c r="AF177" s="114"/>
      <c r="AG177" s="114"/>
      <c r="AH177" s="114"/>
      <c r="AI177" s="114"/>
      <c r="AJ177" s="114"/>
      <c r="AK177" s="114"/>
      <c r="AL177" s="114"/>
      <c r="AM177" s="114"/>
      <c r="AN177" s="114"/>
      <c r="AO177" s="114"/>
      <c r="AP177" s="114"/>
      <c r="AQ177" s="114"/>
      <c r="AR177" s="114"/>
      <c r="AS177" s="114"/>
      <c r="AT177" s="114"/>
      <c r="AU177" s="114"/>
      <c r="AV177" s="114"/>
      <c r="AW177" s="114"/>
      <c r="AX177" s="114"/>
      <c r="AY177" s="114"/>
    </row>
    <row r="178" spans="1:51" x14ac:dyDescent="0.3">
      <c r="A178" s="114"/>
      <c r="B178" s="114"/>
      <c r="C178" s="114"/>
      <c r="D178" s="114"/>
      <c r="E178" s="114"/>
      <c r="F178" s="114"/>
      <c r="G178" s="114"/>
      <c r="H178" s="114"/>
      <c r="I178" s="114"/>
      <c r="J178" s="114"/>
      <c r="K178" s="114"/>
      <c r="L178" s="114"/>
      <c r="M178" s="114"/>
      <c r="N178" s="114"/>
      <c r="O178" s="114"/>
      <c r="P178" s="114"/>
      <c r="Q178" s="114"/>
      <c r="R178" s="114"/>
      <c r="S178" s="114"/>
      <c r="T178" s="114"/>
      <c r="U178" s="114"/>
      <c r="V178" s="114"/>
      <c r="W178" s="114"/>
      <c r="X178" s="114"/>
      <c r="Y178" s="114"/>
      <c r="Z178" s="114"/>
      <c r="AA178" s="114"/>
      <c r="AB178" s="114"/>
      <c r="AC178" s="114"/>
      <c r="AD178" s="114"/>
      <c r="AE178" s="114"/>
      <c r="AF178" s="114"/>
      <c r="AG178" s="114"/>
      <c r="AH178" s="114"/>
      <c r="AI178" s="114"/>
      <c r="AJ178" s="114"/>
      <c r="AK178" s="114"/>
      <c r="AL178" s="114"/>
      <c r="AM178" s="114"/>
      <c r="AN178" s="114"/>
      <c r="AO178" s="114"/>
      <c r="AP178" s="114"/>
      <c r="AQ178" s="114"/>
      <c r="AR178" s="114"/>
      <c r="AS178" s="114"/>
      <c r="AT178" s="114"/>
      <c r="AU178" s="114"/>
      <c r="AV178" s="114"/>
      <c r="AW178" s="114"/>
      <c r="AX178" s="114"/>
      <c r="AY178" s="114"/>
    </row>
    <row r="179" spans="1:51" x14ac:dyDescent="0.3">
      <c r="A179" s="114"/>
      <c r="B179" s="114"/>
      <c r="C179" s="114"/>
      <c r="D179" s="114"/>
      <c r="E179" s="114"/>
      <c r="F179" s="114"/>
      <c r="G179" s="114"/>
      <c r="H179" s="114"/>
      <c r="I179" s="114"/>
      <c r="J179" s="114"/>
      <c r="K179" s="114"/>
      <c r="L179" s="114"/>
      <c r="M179" s="114"/>
      <c r="N179" s="114"/>
      <c r="O179" s="114"/>
      <c r="P179" s="114"/>
      <c r="Q179" s="114"/>
      <c r="R179" s="114"/>
      <c r="S179" s="114"/>
      <c r="T179" s="114"/>
      <c r="U179" s="114"/>
      <c r="V179" s="114"/>
      <c r="W179" s="114"/>
      <c r="X179" s="114"/>
      <c r="Y179" s="114"/>
      <c r="Z179" s="114"/>
      <c r="AA179" s="114"/>
      <c r="AB179" s="114"/>
      <c r="AC179" s="114"/>
      <c r="AD179" s="114"/>
      <c r="AE179" s="114"/>
      <c r="AF179" s="114"/>
      <c r="AG179" s="114"/>
      <c r="AH179" s="114"/>
      <c r="AI179" s="114"/>
      <c r="AJ179" s="114"/>
      <c r="AK179" s="114"/>
      <c r="AL179" s="114"/>
      <c r="AM179" s="114"/>
      <c r="AN179" s="114"/>
      <c r="AO179" s="114"/>
      <c r="AP179" s="114"/>
      <c r="AQ179" s="114"/>
      <c r="AR179" s="114"/>
      <c r="AS179" s="114"/>
      <c r="AT179" s="114"/>
      <c r="AU179" s="114"/>
      <c r="AV179" s="114"/>
      <c r="AW179" s="114"/>
      <c r="AX179" s="114"/>
      <c r="AY179" s="114"/>
    </row>
    <row r="180" spans="1:51" x14ac:dyDescent="0.3">
      <c r="A180" s="114"/>
      <c r="B180" s="114"/>
      <c r="C180" s="114"/>
      <c r="D180" s="114"/>
      <c r="E180" s="114"/>
      <c r="F180" s="114"/>
      <c r="G180" s="114"/>
      <c r="H180" s="114"/>
      <c r="I180" s="114"/>
      <c r="J180" s="114"/>
      <c r="K180" s="114"/>
      <c r="L180" s="114"/>
      <c r="M180" s="114"/>
      <c r="N180" s="114"/>
      <c r="O180" s="114"/>
      <c r="P180" s="114"/>
      <c r="Q180" s="114"/>
      <c r="R180" s="114"/>
      <c r="S180" s="114"/>
      <c r="T180" s="114"/>
      <c r="U180" s="114"/>
      <c r="V180" s="114"/>
      <c r="W180" s="114"/>
      <c r="X180" s="114"/>
      <c r="Y180" s="114"/>
      <c r="Z180" s="114"/>
      <c r="AA180" s="114"/>
      <c r="AB180" s="114"/>
      <c r="AC180" s="114"/>
      <c r="AD180" s="114"/>
      <c r="AE180" s="114"/>
      <c r="AF180" s="114"/>
      <c r="AG180" s="114"/>
      <c r="AH180" s="114"/>
      <c r="AI180" s="114"/>
      <c r="AJ180" s="114"/>
      <c r="AK180" s="114"/>
      <c r="AL180" s="114"/>
      <c r="AM180" s="114"/>
      <c r="AN180" s="114"/>
      <c r="AO180" s="114"/>
      <c r="AP180" s="114"/>
      <c r="AQ180" s="114"/>
      <c r="AR180" s="114"/>
      <c r="AS180" s="114"/>
      <c r="AT180" s="114"/>
      <c r="AU180" s="114"/>
      <c r="AV180" s="114"/>
      <c r="AW180" s="114"/>
      <c r="AX180" s="114"/>
      <c r="AY180" s="114"/>
    </row>
    <row r="181" spans="1:51" x14ac:dyDescent="0.3">
      <c r="A181" s="114"/>
      <c r="B181" s="114"/>
      <c r="C181" s="114"/>
      <c r="D181" s="114"/>
      <c r="E181" s="114"/>
      <c r="F181" s="114"/>
      <c r="G181" s="114"/>
      <c r="H181" s="114"/>
      <c r="I181" s="114"/>
      <c r="J181" s="114"/>
      <c r="K181" s="114"/>
      <c r="L181" s="114"/>
      <c r="M181" s="114"/>
      <c r="N181" s="114"/>
      <c r="O181" s="114"/>
      <c r="P181" s="114"/>
      <c r="Q181" s="114"/>
      <c r="R181" s="114"/>
      <c r="S181" s="114"/>
      <c r="T181" s="114"/>
      <c r="U181" s="114"/>
      <c r="V181" s="114"/>
      <c r="W181" s="114"/>
      <c r="X181" s="114"/>
      <c r="Y181" s="114"/>
      <c r="Z181" s="114"/>
      <c r="AA181" s="114"/>
      <c r="AB181" s="114"/>
      <c r="AC181" s="114"/>
      <c r="AD181" s="114"/>
      <c r="AE181" s="114"/>
      <c r="AF181" s="114"/>
      <c r="AG181" s="114"/>
      <c r="AH181" s="114"/>
      <c r="AI181" s="114"/>
      <c r="AJ181" s="114"/>
      <c r="AK181" s="114"/>
      <c r="AL181" s="114"/>
      <c r="AM181" s="114"/>
      <c r="AN181" s="114"/>
      <c r="AO181" s="114"/>
      <c r="AP181" s="114"/>
      <c r="AQ181" s="114"/>
      <c r="AR181" s="114"/>
      <c r="AS181" s="114"/>
      <c r="AT181" s="114"/>
      <c r="AU181" s="114"/>
      <c r="AV181" s="114"/>
      <c r="AW181" s="114"/>
      <c r="AX181" s="114"/>
      <c r="AY181" s="114"/>
    </row>
    <row r="182" spans="1:51" x14ac:dyDescent="0.3">
      <c r="A182" s="114"/>
      <c r="B182" s="114"/>
      <c r="C182" s="114"/>
      <c r="D182" s="114"/>
      <c r="E182" s="114"/>
      <c r="F182" s="114"/>
      <c r="G182" s="114"/>
      <c r="H182" s="114"/>
      <c r="I182" s="114"/>
      <c r="J182" s="114"/>
      <c r="K182" s="114"/>
      <c r="L182" s="114"/>
      <c r="M182" s="114"/>
      <c r="N182" s="114"/>
      <c r="O182" s="114"/>
      <c r="P182" s="114"/>
      <c r="Q182" s="114"/>
      <c r="R182" s="114"/>
      <c r="S182" s="114"/>
      <c r="T182" s="114"/>
      <c r="U182" s="114"/>
      <c r="V182" s="114"/>
      <c r="W182" s="114"/>
      <c r="X182" s="114"/>
      <c r="Y182" s="114"/>
      <c r="Z182" s="114"/>
      <c r="AA182" s="114"/>
      <c r="AB182" s="114"/>
      <c r="AC182" s="114"/>
      <c r="AD182" s="114"/>
      <c r="AE182" s="114"/>
      <c r="AF182" s="114"/>
      <c r="AG182" s="114"/>
      <c r="AH182" s="114"/>
      <c r="AI182" s="114"/>
      <c r="AJ182" s="114"/>
      <c r="AK182" s="114"/>
      <c r="AL182" s="114"/>
      <c r="AM182" s="114"/>
      <c r="AN182" s="114"/>
      <c r="AO182" s="114"/>
      <c r="AP182" s="114"/>
      <c r="AQ182" s="114"/>
      <c r="AR182" s="114"/>
      <c r="AS182" s="114"/>
      <c r="AT182" s="114"/>
      <c r="AU182" s="114"/>
      <c r="AV182" s="114"/>
      <c r="AW182" s="114"/>
      <c r="AX182" s="114"/>
      <c r="AY182" s="114"/>
    </row>
    <row r="183" spans="1:51" x14ac:dyDescent="0.3">
      <c r="A183" s="114"/>
      <c r="B183" s="114"/>
      <c r="C183" s="114"/>
      <c r="D183" s="114"/>
      <c r="E183" s="114"/>
      <c r="F183" s="114"/>
      <c r="G183" s="114"/>
      <c r="H183" s="114"/>
      <c r="I183" s="114"/>
      <c r="J183" s="114"/>
      <c r="K183" s="114"/>
      <c r="L183" s="114"/>
      <c r="M183" s="114"/>
      <c r="N183" s="114"/>
      <c r="O183" s="114"/>
      <c r="P183" s="114"/>
      <c r="Q183" s="114"/>
      <c r="R183" s="114"/>
      <c r="S183" s="114"/>
      <c r="T183" s="114"/>
      <c r="U183" s="114"/>
      <c r="V183" s="114"/>
      <c r="W183" s="114"/>
      <c r="X183" s="114"/>
      <c r="Y183" s="114"/>
      <c r="Z183" s="114"/>
      <c r="AA183" s="114"/>
      <c r="AB183" s="114"/>
      <c r="AC183" s="114"/>
      <c r="AD183" s="114"/>
      <c r="AE183" s="114"/>
      <c r="AF183" s="114"/>
      <c r="AG183" s="114"/>
      <c r="AH183" s="114"/>
      <c r="AI183" s="114"/>
      <c r="AJ183" s="114"/>
      <c r="AK183" s="114"/>
      <c r="AL183" s="114"/>
      <c r="AM183" s="114"/>
      <c r="AN183" s="114"/>
      <c r="AO183" s="114"/>
      <c r="AP183" s="114"/>
      <c r="AQ183" s="114"/>
      <c r="AR183" s="114"/>
      <c r="AS183" s="114"/>
      <c r="AT183" s="114"/>
      <c r="AU183" s="114"/>
      <c r="AV183" s="114"/>
      <c r="AW183" s="114"/>
      <c r="AX183" s="114"/>
      <c r="AY183" s="114"/>
    </row>
    <row r="184" spans="1:51" x14ac:dyDescent="0.3">
      <c r="A184" s="114"/>
      <c r="B184" s="114"/>
      <c r="C184" s="114"/>
      <c r="D184" s="114"/>
      <c r="E184" s="114"/>
      <c r="F184" s="114"/>
      <c r="G184" s="114"/>
      <c r="H184" s="114"/>
      <c r="I184" s="114"/>
      <c r="J184" s="114"/>
      <c r="K184" s="114"/>
      <c r="L184" s="114"/>
      <c r="M184" s="114"/>
      <c r="N184" s="114"/>
      <c r="O184" s="114"/>
      <c r="P184" s="114"/>
      <c r="Q184" s="114"/>
      <c r="R184" s="114"/>
      <c r="S184" s="114"/>
      <c r="T184" s="114"/>
      <c r="U184" s="114"/>
      <c r="V184" s="114"/>
      <c r="W184" s="114"/>
      <c r="X184" s="114"/>
      <c r="Y184" s="114"/>
      <c r="Z184" s="114"/>
      <c r="AA184" s="114"/>
      <c r="AB184" s="114"/>
      <c r="AC184" s="114"/>
      <c r="AD184" s="114"/>
      <c r="AE184" s="114"/>
      <c r="AF184" s="114"/>
      <c r="AG184" s="114"/>
      <c r="AH184" s="114"/>
      <c r="AI184" s="114"/>
      <c r="AJ184" s="114"/>
      <c r="AK184" s="114"/>
      <c r="AL184" s="114"/>
      <c r="AM184" s="114"/>
      <c r="AN184" s="114"/>
      <c r="AO184" s="114"/>
      <c r="AP184" s="114"/>
      <c r="AQ184" s="114"/>
      <c r="AR184" s="114"/>
      <c r="AS184" s="114"/>
      <c r="AT184" s="114"/>
      <c r="AU184" s="114"/>
      <c r="AV184" s="114"/>
      <c r="AW184" s="114"/>
      <c r="AX184" s="114"/>
      <c r="AY184" s="114"/>
    </row>
    <row r="185" spans="1:51" x14ac:dyDescent="0.3">
      <c r="A185" s="114"/>
      <c r="B185" s="114"/>
      <c r="C185" s="114"/>
      <c r="D185" s="114"/>
      <c r="E185" s="114"/>
      <c r="F185" s="114"/>
      <c r="G185" s="114"/>
      <c r="H185" s="114"/>
      <c r="I185" s="114"/>
      <c r="J185" s="114"/>
      <c r="K185" s="114"/>
      <c r="L185" s="114"/>
      <c r="M185" s="114"/>
      <c r="N185" s="114"/>
      <c r="O185" s="114"/>
      <c r="P185" s="114"/>
      <c r="Q185" s="114"/>
      <c r="R185" s="114"/>
      <c r="S185" s="114"/>
      <c r="T185" s="114"/>
      <c r="U185" s="114"/>
      <c r="V185" s="114"/>
      <c r="W185" s="114"/>
      <c r="X185" s="114"/>
      <c r="Y185" s="114"/>
      <c r="Z185" s="114"/>
      <c r="AA185" s="114"/>
      <c r="AB185" s="114"/>
      <c r="AC185" s="114"/>
      <c r="AD185" s="114"/>
      <c r="AE185" s="114"/>
      <c r="AF185" s="114"/>
      <c r="AG185" s="114"/>
      <c r="AH185" s="114"/>
      <c r="AI185" s="114"/>
      <c r="AJ185" s="114"/>
      <c r="AK185" s="114"/>
      <c r="AL185" s="114"/>
      <c r="AM185" s="114"/>
      <c r="AN185" s="114"/>
      <c r="AO185" s="114"/>
      <c r="AP185" s="114"/>
      <c r="AQ185" s="114"/>
      <c r="AR185" s="114"/>
      <c r="AS185" s="114"/>
      <c r="AT185" s="114"/>
      <c r="AU185" s="114"/>
      <c r="AV185" s="114"/>
      <c r="AW185" s="114"/>
      <c r="AX185" s="114"/>
      <c r="AY185" s="114"/>
    </row>
    <row r="186" spans="1:51" x14ac:dyDescent="0.3">
      <c r="A186" s="114"/>
      <c r="B186" s="114"/>
      <c r="C186" s="114"/>
      <c r="D186" s="114"/>
      <c r="E186" s="114"/>
      <c r="F186" s="114"/>
      <c r="G186" s="114"/>
      <c r="H186" s="114"/>
      <c r="I186" s="114"/>
      <c r="J186" s="114"/>
      <c r="K186" s="114"/>
      <c r="L186" s="114"/>
      <c r="M186" s="114"/>
      <c r="N186" s="114"/>
      <c r="O186" s="114"/>
      <c r="P186" s="114"/>
      <c r="Q186" s="114"/>
      <c r="R186" s="114"/>
      <c r="S186" s="114"/>
      <c r="T186" s="114"/>
      <c r="U186" s="114"/>
      <c r="V186" s="114"/>
      <c r="W186" s="114"/>
      <c r="X186" s="114"/>
      <c r="Y186" s="114"/>
      <c r="Z186" s="114"/>
      <c r="AA186" s="114"/>
      <c r="AB186" s="114"/>
      <c r="AC186" s="114"/>
      <c r="AD186" s="114"/>
      <c r="AE186" s="114"/>
      <c r="AF186" s="114"/>
      <c r="AG186" s="114"/>
      <c r="AH186" s="114"/>
      <c r="AI186" s="114"/>
      <c r="AJ186" s="114"/>
      <c r="AK186" s="114"/>
      <c r="AL186" s="114"/>
      <c r="AM186" s="114"/>
      <c r="AN186" s="114"/>
      <c r="AO186" s="114"/>
      <c r="AP186" s="114"/>
      <c r="AQ186" s="114"/>
      <c r="AR186" s="114"/>
      <c r="AS186" s="114"/>
      <c r="AT186" s="114"/>
      <c r="AU186" s="114"/>
      <c r="AV186" s="114"/>
      <c r="AW186" s="114"/>
      <c r="AX186" s="114"/>
      <c r="AY186" s="114"/>
    </row>
    <row r="187" spans="1:51" x14ac:dyDescent="0.3">
      <c r="A187" s="114"/>
      <c r="B187" s="114"/>
      <c r="C187" s="114"/>
      <c r="D187" s="114"/>
      <c r="E187" s="114"/>
      <c r="F187" s="114"/>
      <c r="G187" s="114"/>
      <c r="H187" s="114"/>
      <c r="I187" s="114"/>
      <c r="J187" s="114"/>
      <c r="K187" s="114"/>
      <c r="L187" s="114"/>
      <c r="M187" s="114"/>
      <c r="N187" s="114"/>
      <c r="O187" s="114"/>
      <c r="P187" s="114"/>
      <c r="Q187" s="114"/>
      <c r="R187" s="114"/>
      <c r="S187" s="114"/>
      <c r="T187" s="114"/>
      <c r="U187" s="114"/>
      <c r="V187" s="114"/>
      <c r="W187" s="114"/>
      <c r="X187" s="114"/>
      <c r="Y187" s="114"/>
      <c r="Z187" s="114"/>
      <c r="AA187" s="114"/>
      <c r="AB187" s="114"/>
      <c r="AC187" s="114"/>
      <c r="AD187" s="114"/>
      <c r="AE187" s="114"/>
      <c r="AF187" s="114"/>
      <c r="AG187" s="114"/>
      <c r="AH187" s="114"/>
      <c r="AI187" s="114"/>
      <c r="AJ187" s="114"/>
      <c r="AK187" s="114"/>
      <c r="AL187" s="114"/>
      <c r="AM187" s="114"/>
      <c r="AN187" s="114"/>
      <c r="AO187" s="114"/>
      <c r="AP187" s="114"/>
      <c r="AQ187" s="114"/>
      <c r="AR187" s="114"/>
      <c r="AS187" s="114"/>
      <c r="AT187" s="114"/>
      <c r="AU187" s="114"/>
      <c r="AV187" s="114"/>
      <c r="AW187" s="114"/>
      <c r="AX187" s="114"/>
      <c r="AY187" s="114"/>
    </row>
    <row r="188" spans="1:51" x14ac:dyDescent="0.3">
      <c r="A188" s="114"/>
      <c r="B188" s="114"/>
      <c r="C188" s="114"/>
      <c r="D188" s="114"/>
      <c r="E188" s="114"/>
      <c r="F188" s="114"/>
      <c r="G188" s="114"/>
      <c r="H188" s="114"/>
      <c r="I188" s="114"/>
      <c r="J188" s="114"/>
      <c r="K188" s="114"/>
      <c r="L188" s="114"/>
      <c r="M188" s="114"/>
      <c r="N188" s="114"/>
      <c r="O188" s="114"/>
      <c r="P188" s="114"/>
      <c r="Q188" s="114"/>
      <c r="R188" s="114"/>
      <c r="S188" s="114"/>
      <c r="T188" s="114"/>
      <c r="U188" s="114"/>
      <c r="V188" s="114"/>
      <c r="W188" s="114"/>
      <c r="X188" s="114"/>
      <c r="Y188" s="114"/>
      <c r="Z188" s="114"/>
      <c r="AA188" s="114"/>
      <c r="AB188" s="114"/>
      <c r="AC188" s="114"/>
      <c r="AD188" s="114"/>
      <c r="AE188" s="114"/>
      <c r="AF188" s="114"/>
      <c r="AG188" s="114"/>
      <c r="AH188" s="114"/>
      <c r="AI188" s="114"/>
      <c r="AJ188" s="114"/>
      <c r="AK188" s="114"/>
      <c r="AL188" s="114"/>
      <c r="AM188" s="114"/>
      <c r="AN188" s="114"/>
      <c r="AO188" s="114"/>
      <c r="AP188" s="114"/>
      <c r="AQ188" s="114"/>
      <c r="AR188" s="114"/>
      <c r="AS188" s="114"/>
      <c r="AT188" s="114"/>
      <c r="AU188" s="114"/>
      <c r="AV188" s="114"/>
      <c r="AW188" s="114"/>
      <c r="AX188" s="114"/>
      <c r="AY188" s="114"/>
    </row>
    <row r="189" spans="1:51" x14ac:dyDescent="0.3">
      <c r="A189" s="114"/>
      <c r="B189" s="114"/>
      <c r="C189" s="114"/>
      <c r="D189" s="114"/>
      <c r="E189" s="114"/>
      <c r="F189" s="114"/>
      <c r="G189" s="114"/>
      <c r="H189" s="114"/>
      <c r="I189" s="114"/>
      <c r="J189" s="114"/>
      <c r="K189" s="114"/>
      <c r="L189" s="114"/>
      <c r="M189" s="114"/>
      <c r="N189" s="114"/>
      <c r="O189" s="114"/>
      <c r="P189" s="114"/>
      <c r="Q189" s="114"/>
      <c r="R189" s="114"/>
      <c r="S189" s="114"/>
      <c r="T189" s="114"/>
      <c r="U189" s="114"/>
      <c r="V189" s="114"/>
      <c r="W189" s="114"/>
      <c r="X189" s="114"/>
      <c r="Y189" s="114"/>
      <c r="Z189" s="114"/>
      <c r="AA189" s="114"/>
      <c r="AB189" s="114"/>
      <c r="AC189" s="114"/>
      <c r="AD189" s="114"/>
      <c r="AE189" s="114"/>
      <c r="AF189" s="114"/>
      <c r="AG189" s="114"/>
      <c r="AH189" s="114"/>
      <c r="AI189" s="114"/>
      <c r="AJ189" s="114"/>
      <c r="AK189" s="114"/>
      <c r="AL189" s="114"/>
      <c r="AM189" s="114"/>
      <c r="AN189" s="114"/>
      <c r="AO189" s="114"/>
      <c r="AP189" s="114"/>
      <c r="AQ189" s="114"/>
      <c r="AR189" s="114"/>
      <c r="AS189" s="114"/>
      <c r="AT189" s="114"/>
      <c r="AU189" s="114"/>
      <c r="AV189" s="114"/>
      <c r="AW189" s="114"/>
      <c r="AX189" s="114"/>
      <c r="AY189" s="114"/>
    </row>
    <row r="190" spans="1:51" x14ac:dyDescent="0.3">
      <c r="A190" s="114"/>
      <c r="B190" s="114"/>
      <c r="C190" s="114"/>
      <c r="D190" s="114"/>
      <c r="E190" s="114"/>
      <c r="F190" s="114"/>
      <c r="G190" s="114"/>
      <c r="H190" s="114"/>
      <c r="I190" s="114"/>
      <c r="J190" s="114"/>
      <c r="K190" s="114"/>
      <c r="L190" s="114"/>
      <c r="M190" s="114"/>
      <c r="N190" s="114"/>
      <c r="O190" s="114"/>
      <c r="P190" s="114"/>
      <c r="Q190" s="114"/>
      <c r="R190" s="114"/>
      <c r="S190" s="114"/>
      <c r="T190" s="114"/>
      <c r="U190" s="114"/>
      <c r="V190" s="114"/>
      <c r="W190" s="114"/>
      <c r="X190" s="114"/>
      <c r="Y190" s="114"/>
      <c r="Z190" s="114"/>
      <c r="AA190" s="114"/>
      <c r="AB190" s="114"/>
      <c r="AC190" s="114"/>
      <c r="AD190" s="114"/>
      <c r="AE190" s="114"/>
      <c r="AF190" s="114"/>
      <c r="AG190" s="114"/>
      <c r="AH190" s="114"/>
      <c r="AI190" s="114"/>
      <c r="AJ190" s="114"/>
      <c r="AK190" s="114"/>
      <c r="AL190" s="114"/>
      <c r="AM190" s="114"/>
      <c r="AN190" s="114"/>
      <c r="AO190" s="114"/>
      <c r="AP190" s="114"/>
      <c r="AQ190" s="114"/>
      <c r="AR190" s="114"/>
      <c r="AS190" s="114"/>
      <c r="AT190" s="114"/>
      <c r="AU190" s="114"/>
      <c r="AV190" s="114"/>
      <c r="AW190" s="114"/>
      <c r="AX190" s="114"/>
      <c r="AY190" s="114"/>
    </row>
    <row r="191" spans="1:51" x14ac:dyDescent="0.3">
      <c r="A191" s="114"/>
      <c r="B191" s="114"/>
      <c r="C191" s="114"/>
      <c r="D191" s="114"/>
      <c r="E191" s="114"/>
      <c r="F191" s="114"/>
      <c r="G191" s="114"/>
      <c r="H191" s="114"/>
      <c r="I191" s="114"/>
      <c r="J191" s="114"/>
      <c r="K191" s="114"/>
      <c r="L191" s="114"/>
      <c r="M191" s="114"/>
      <c r="N191" s="114"/>
      <c r="O191" s="114"/>
      <c r="P191" s="114"/>
      <c r="Q191" s="114"/>
      <c r="R191" s="114"/>
      <c r="S191" s="114"/>
      <c r="T191" s="114"/>
      <c r="U191" s="114"/>
      <c r="V191" s="114"/>
      <c r="W191" s="114"/>
      <c r="X191" s="114"/>
      <c r="Y191" s="114"/>
      <c r="Z191" s="114"/>
      <c r="AA191" s="114"/>
      <c r="AB191" s="114"/>
      <c r="AC191" s="114"/>
      <c r="AD191" s="114"/>
      <c r="AE191" s="114"/>
      <c r="AF191" s="114"/>
      <c r="AG191" s="114"/>
      <c r="AH191" s="114"/>
      <c r="AI191" s="114"/>
      <c r="AJ191" s="114"/>
      <c r="AK191" s="114"/>
      <c r="AL191" s="114"/>
      <c r="AM191" s="114"/>
      <c r="AN191" s="114"/>
      <c r="AO191" s="114"/>
      <c r="AP191" s="114"/>
      <c r="AQ191" s="114"/>
      <c r="AR191" s="114"/>
      <c r="AS191" s="114"/>
      <c r="AT191" s="114"/>
      <c r="AU191" s="114"/>
      <c r="AV191" s="114"/>
      <c r="AW191" s="114"/>
      <c r="AX191" s="114"/>
      <c r="AY191" s="114"/>
    </row>
    <row r="192" spans="1:51" x14ac:dyDescent="0.3">
      <c r="A192" s="114"/>
      <c r="B192" s="114"/>
      <c r="C192" s="114"/>
      <c r="D192" s="114"/>
      <c r="E192" s="114"/>
      <c r="F192" s="114"/>
      <c r="G192" s="114"/>
      <c r="H192" s="114"/>
      <c r="I192" s="114"/>
      <c r="J192" s="114"/>
      <c r="K192" s="114"/>
      <c r="L192" s="114"/>
      <c r="M192" s="114"/>
      <c r="N192" s="114"/>
      <c r="O192" s="114"/>
      <c r="P192" s="114"/>
      <c r="Q192" s="114"/>
      <c r="R192" s="114"/>
      <c r="S192" s="114"/>
      <c r="T192" s="114"/>
      <c r="U192" s="114"/>
      <c r="V192" s="114"/>
      <c r="W192" s="114"/>
      <c r="X192" s="114"/>
      <c r="Y192" s="114"/>
      <c r="Z192" s="114"/>
      <c r="AA192" s="114"/>
      <c r="AB192" s="114"/>
      <c r="AC192" s="114"/>
      <c r="AD192" s="114"/>
      <c r="AE192" s="114"/>
      <c r="AF192" s="114"/>
      <c r="AG192" s="114"/>
      <c r="AH192" s="114"/>
      <c r="AI192" s="114"/>
      <c r="AJ192" s="114"/>
      <c r="AK192" s="114"/>
      <c r="AL192" s="114"/>
      <c r="AM192" s="114"/>
      <c r="AN192" s="114"/>
      <c r="AO192" s="114"/>
      <c r="AP192" s="114"/>
      <c r="AQ192" s="114"/>
      <c r="AR192" s="114"/>
      <c r="AS192" s="114"/>
      <c r="AT192" s="114"/>
      <c r="AU192" s="114"/>
      <c r="AV192" s="114"/>
      <c r="AW192" s="114"/>
      <c r="AX192" s="114"/>
      <c r="AY192" s="114"/>
    </row>
    <row r="193" spans="1:51" x14ac:dyDescent="0.3">
      <c r="A193" s="114"/>
      <c r="B193" s="114"/>
      <c r="C193" s="114"/>
      <c r="D193" s="114"/>
      <c r="E193" s="114"/>
      <c r="F193" s="114"/>
      <c r="G193" s="114"/>
      <c r="H193" s="114"/>
      <c r="I193" s="114"/>
      <c r="J193" s="114"/>
      <c r="K193" s="114"/>
      <c r="L193" s="114"/>
      <c r="M193" s="114"/>
      <c r="N193" s="114"/>
      <c r="O193" s="114"/>
      <c r="P193" s="114"/>
      <c r="Q193" s="114"/>
      <c r="R193" s="114"/>
      <c r="S193" s="114"/>
      <c r="T193" s="114"/>
      <c r="U193" s="114"/>
      <c r="V193" s="114"/>
      <c r="W193" s="114"/>
      <c r="X193" s="114"/>
      <c r="Y193" s="114"/>
      <c r="Z193" s="114"/>
      <c r="AA193" s="114"/>
      <c r="AB193" s="114"/>
      <c r="AC193" s="114"/>
      <c r="AD193" s="114"/>
      <c r="AE193" s="114"/>
      <c r="AF193" s="114"/>
      <c r="AG193" s="114"/>
      <c r="AH193" s="114"/>
      <c r="AI193" s="114"/>
      <c r="AJ193" s="114"/>
      <c r="AK193" s="114"/>
      <c r="AL193" s="114"/>
      <c r="AM193" s="114"/>
      <c r="AN193" s="114"/>
      <c r="AO193" s="114"/>
      <c r="AP193" s="114"/>
      <c r="AQ193" s="114"/>
      <c r="AR193" s="114"/>
      <c r="AS193" s="114"/>
      <c r="AT193" s="114"/>
      <c r="AU193" s="114"/>
      <c r="AV193" s="114"/>
      <c r="AW193" s="114"/>
      <c r="AX193" s="114"/>
      <c r="AY193" s="114"/>
    </row>
    <row r="194" spans="1:51" x14ac:dyDescent="0.3">
      <c r="A194" s="114"/>
      <c r="B194" s="114"/>
      <c r="C194" s="114"/>
      <c r="D194" s="114"/>
      <c r="E194" s="114"/>
      <c r="F194" s="114"/>
      <c r="G194" s="114"/>
      <c r="H194" s="114"/>
      <c r="I194" s="114"/>
      <c r="J194" s="114"/>
      <c r="K194" s="114"/>
      <c r="L194" s="114"/>
      <c r="M194" s="114"/>
      <c r="N194" s="114"/>
      <c r="O194" s="114"/>
      <c r="P194" s="114"/>
      <c r="Q194" s="114"/>
      <c r="R194" s="114"/>
      <c r="S194" s="114"/>
      <c r="T194" s="114"/>
      <c r="U194" s="114"/>
      <c r="V194" s="114"/>
      <c r="W194" s="114"/>
      <c r="X194" s="114"/>
      <c r="Y194" s="114"/>
      <c r="Z194" s="114"/>
      <c r="AA194" s="114"/>
      <c r="AB194" s="114"/>
      <c r="AC194" s="114"/>
      <c r="AD194" s="114"/>
      <c r="AE194" s="114"/>
      <c r="AF194" s="114"/>
      <c r="AG194" s="114"/>
      <c r="AH194" s="114"/>
      <c r="AI194" s="114"/>
      <c r="AJ194" s="114"/>
      <c r="AK194" s="114"/>
      <c r="AL194" s="114"/>
      <c r="AM194" s="114"/>
      <c r="AN194" s="114"/>
      <c r="AO194" s="114"/>
      <c r="AP194" s="114"/>
      <c r="AQ194" s="114"/>
      <c r="AR194" s="114"/>
      <c r="AS194" s="114"/>
      <c r="AT194" s="114"/>
      <c r="AU194" s="114"/>
      <c r="AV194" s="114"/>
      <c r="AW194" s="114"/>
      <c r="AX194" s="114"/>
      <c r="AY194" s="114"/>
    </row>
    <row r="195" spans="1:51" x14ac:dyDescent="0.3">
      <c r="A195" s="114"/>
      <c r="B195" s="114"/>
      <c r="C195" s="114"/>
      <c r="D195" s="114"/>
      <c r="E195" s="114"/>
      <c r="F195" s="114"/>
      <c r="G195" s="114"/>
      <c r="H195" s="114"/>
      <c r="I195" s="114"/>
      <c r="J195" s="114"/>
      <c r="K195" s="114"/>
      <c r="L195" s="114"/>
      <c r="M195" s="114"/>
      <c r="N195" s="114"/>
      <c r="O195" s="114"/>
      <c r="P195" s="114"/>
      <c r="Q195" s="114"/>
      <c r="R195" s="114"/>
      <c r="S195" s="114"/>
      <c r="T195" s="114"/>
      <c r="U195" s="114"/>
      <c r="V195" s="114"/>
      <c r="W195" s="114"/>
      <c r="X195" s="114"/>
      <c r="Y195" s="114"/>
      <c r="Z195" s="114"/>
      <c r="AA195" s="114"/>
      <c r="AB195" s="114"/>
      <c r="AC195" s="114"/>
      <c r="AD195" s="114"/>
      <c r="AE195" s="114"/>
      <c r="AF195" s="114"/>
      <c r="AG195" s="114"/>
      <c r="AH195" s="114"/>
      <c r="AI195" s="114"/>
      <c r="AJ195" s="114"/>
      <c r="AK195" s="114"/>
      <c r="AL195" s="114"/>
      <c r="AM195" s="114"/>
      <c r="AN195" s="114"/>
      <c r="AO195" s="114"/>
      <c r="AP195" s="114"/>
      <c r="AQ195" s="114"/>
      <c r="AR195" s="114"/>
      <c r="AS195" s="114"/>
      <c r="AT195" s="114"/>
      <c r="AU195" s="114"/>
      <c r="AV195" s="114"/>
      <c r="AW195" s="114"/>
      <c r="AX195" s="114"/>
      <c r="AY195" s="114"/>
    </row>
    <row r="196" spans="1:51" x14ac:dyDescent="0.3">
      <c r="A196" s="114"/>
      <c r="B196" s="114"/>
      <c r="C196" s="114"/>
      <c r="D196" s="114"/>
      <c r="E196" s="114"/>
      <c r="F196" s="114"/>
      <c r="G196" s="114"/>
      <c r="H196" s="114"/>
      <c r="I196" s="114"/>
      <c r="J196" s="114"/>
      <c r="K196" s="114"/>
      <c r="L196" s="114"/>
      <c r="M196" s="114"/>
      <c r="N196" s="114"/>
      <c r="O196" s="114"/>
      <c r="P196" s="114"/>
      <c r="Q196" s="114"/>
      <c r="R196" s="114"/>
      <c r="S196" s="114"/>
      <c r="T196" s="114"/>
      <c r="U196" s="114"/>
      <c r="V196" s="114"/>
      <c r="W196" s="114"/>
      <c r="X196" s="114"/>
      <c r="Y196" s="114"/>
      <c r="Z196" s="114"/>
      <c r="AA196" s="114"/>
      <c r="AB196" s="114"/>
      <c r="AC196" s="114"/>
      <c r="AD196" s="114"/>
      <c r="AE196" s="114"/>
      <c r="AF196" s="114"/>
      <c r="AG196" s="114"/>
      <c r="AH196" s="114"/>
      <c r="AI196" s="114"/>
      <c r="AJ196" s="114"/>
      <c r="AK196" s="114"/>
      <c r="AL196" s="114"/>
      <c r="AM196" s="114"/>
      <c r="AN196" s="114"/>
      <c r="AO196" s="114"/>
      <c r="AP196" s="114"/>
      <c r="AQ196" s="114"/>
      <c r="AR196" s="114"/>
      <c r="AS196" s="114"/>
      <c r="AT196" s="114"/>
      <c r="AU196" s="114"/>
      <c r="AV196" s="114"/>
      <c r="AW196" s="114"/>
      <c r="AX196" s="114"/>
      <c r="AY196" s="114"/>
    </row>
    <row r="197" spans="1:51" x14ac:dyDescent="0.3">
      <c r="A197" s="114"/>
      <c r="B197" s="114"/>
      <c r="C197" s="114"/>
      <c r="D197" s="114"/>
      <c r="E197" s="114"/>
      <c r="F197" s="114"/>
      <c r="G197" s="114"/>
      <c r="H197" s="114"/>
      <c r="I197" s="114"/>
      <c r="J197" s="114"/>
      <c r="K197" s="114"/>
      <c r="L197" s="114"/>
      <c r="M197" s="114"/>
      <c r="N197" s="114"/>
      <c r="O197" s="114"/>
      <c r="P197" s="114"/>
      <c r="Q197" s="114"/>
      <c r="R197" s="114"/>
      <c r="S197" s="114"/>
      <c r="T197" s="114"/>
      <c r="U197" s="114"/>
      <c r="V197" s="114"/>
      <c r="W197" s="114"/>
      <c r="X197" s="114"/>
      <c r="Y197" s="114"/>
      <c r="Z197" s="114"/>
      <c r="AA197" s="114"/>
      <c r="AB197" s="114"/>
      <c r="AC197" s="114"/>
      <c r="AD197" s="114"/>
      <c r="AE197" s="114"/>
      <c r="AF197" s="114"/>
      <c r="AG197" s="114"/>
      <c r="AH197" s="114"/>
      <c r="AI197" s="114"/>
      <c r="AJ197" s="114"/>
      <c r="AK197" s="114"/>
      <c r="AL197" s="114"/>
      <c r="AM197" s="114"/>
      <c r="AN197" s="114"/>
      <c r="AO197" s="114"/>
      <c r="AP197" s="114"/>
      <c r="AQ197" s="114"/>
      <c r="AR197" s="114"/>
      <c r="AS197" s="114"/>
      <c r="AT197" s="114"/>
      <c r="AU197" s="114"/>
      <c r="AV197" s="114"/>
      <c r="AW197" s="114"/>
      <c r="AX197" s="114"/>
      <c r="AY197" s="114"/>
    </row>
    <row r="198" spans="1:51" x14ac:dyDescent="0.3">
      <c r="A198" s="114"/>
      <c r="B198" s="114"/>
      <c r="C198" s="114"/>
      <c r="D198" s="114"/>
      <c r="E198" s="114"/>
      <c r="F198" s="114"/>
      <c r="G198" s="114"/>
      <c r="H198" s="114"/>
      <c r="I198" s="114"/>
      <c r="J198" s="114"/>
      <c r="K198" s="114"/>
      <c r="L198" s="114"/>
      <c r="M198" s="114"/>
      <c r="N198" s="114"/>
      <c r="O198" s="114"/>
      <c r="P198" s="114"/>
      <c r="Q198" s="114"/>
      <c r="R198" s="114"/>
      <c r="S198" s="114"/>
      <c r="T198" s="114"/>
      <c r="U198" s="114"/>
      <c r="V198" s="114"/>
      <c r="W198" s="114"/>
      <c r="X198" s="114"/>
      <c r="Y198" s="114"/>
      <c r="Z198" s="114"/>
      <c r="AA198" s="114"/>
      <c r="AB198" s="114"/>
      <c r="AC198" s="114"/>
      <c r="AD198" s="114"/>
      <c r="AE198" s="114"/>
      <c r="AF198" s="114"/>
      <c r="AG198" s="114"/>
      <c r="AH198" s="114"/>
      <c r="AI198" s="114"/>
      <c r="AJ198" s="114"/>
      <c r="AK198" s="114"/>
      <c r="AL198" s="114"/>
      <c r="AM198" s="114"/>
      <c r="AN198" s="114"/>
      <c r="AO198" s="114"/>
      <c r="AP198" s="114"/>
      <c r="AQ198" s="114"/>
      <c r="AR198" s="114"/>
      <c r="AS198" s="114"/>
      <c r="AT198" s="114"/>
      <c r="AU198" s="114"/>
      <c r="AV198" s="114"/>
      <c r="AW198" s="114"/>
      <c r="AX198" s="114"/>
      <c r="AY198" s="114"/>
    </row>
    <row r="199" spans="1:51" x14ac:dyDescent="0.3">
      <c r="A199" s="114"/>
      <c r="B199" s="114"/>
      <c r="C199" s="114"/>
      <c r="D199" s="114"/>
      <c r="E199" s="114"/>
      <c r="F199" s="114"/>
      <c r="G199" s="114"/>
      <c r="H199" s="114"/>
      <c r="I199" s="114"/>
      <c r="J199" s="114"/>
      <c r="K199" s="114"/>
      <c r="L199" s="114"/>
      <c r="M199" s="114"/>
      <c r="N199" s="114"/>
      <c r="O199" s="114"/>
      <c r="P199" s="114"/>
      <c r="Q199" s="114"/>
      <c r="R199" s="114"/>
      <c r="S199" s="114"/>
      <c r="T199" s="114"/>
      <c r="U199" s="114"/>
      <c r="V199" s="114"/>
      <c r="W199" s="114"/>
      <c r="X199" s="114"/>
      <c r="Y199" s="114"/>
      <c r="Z199" s="114"/>
      <c r="AA199" s="114"/>
      <c r="AB199" s="114"/>
      <c r="AC199" s="114"/>
      <c r="AD199" s="114"/>
      <c r="AE199" s="114"/>
      <c r="AF199" s="114"/>
      <c r="AG199" s="114"/>
      <c r="AH199" s="114"/>
      <c r="AI199" s="114"/>
      <c r="AJ199" s="114"/>
      <c r="AK199" s="114"/>
      <c r="AL199" s="114"/>
      <c r="AM199" s="114"/>
      <c r="AN199" s="114"/>
      <c r="AO199" s="114"/>
      <c r="AP199" s="114"/>
      <c r="AQ199" s="114"/>
      <c r="AR199" s="114"/>
      <c r="AS199" s="114"/>
      <c r="AT199" s="114"/>
      <c r="AU199" s="114"/>
      <c r="AV199" s="114"/>
      <c r="AW199" s="114"/>
      <c r="AX199" s="114"/>
      <c r="AY199" s="114"/>
    </row>
    <row r="200" spans="1:51" x14ac:dyDescent="0.3">
      <c r="A200" s="114"/>
      <c r="B200" s="114"/>
      <c r="C200" s="114"/>
      <c r="D200" s="114"/>
      <c r="E200" s="114"/>
      <c r="F200" s="114"/>
      <c r="G200" s="114"/>
      <c r="H200" s="114"/>
      <c r="I200" s="114"/>
      <c r="J200" s="114"/>
      <c r="K200" s="114"/>
      <c r="L200" s="114"/>
      <c r="M200" s="114"/>
      <c r="N200" s="114"/>
      <c r="O200" s="114"/>
      <c r="P200" s="114"/>
      <c r="Q200" s="114"/>
      <c r="R200" s="114"/>
      <c r="S200" s="114"/>
      <c r="T200" s="114"/>
      <c r="U200" s="114"/>
      <c r="V200" s="114"/>
      <c r="W200" s="114"/>
      <c r="X200" s="114"/>
      <c r="Y200" s="114"/>
      <c r="Z200" s="114"/>
      <c r="AA200" s="114"/>
      <c r="AB200" s="114"/>
      <c r="AC200" s="114"/>
      <c r="AD200" s="114"/>
      <c r="AE200" s="114"/>
      <c r="AF200" s="114"/>
      <c r="AG200" s="114"/>
      <c r="AH200" s="114"/>
      <c r="AI200" s="114"/>
      <c r="AJ200" s="114"/>
      <c r="AK200" s="114"/>
      <c r="AL200" s="114"/>
      <c r="AM200" s="114"/>
      <c r="AN200" s="114"/>
      <c r="AO200" s="114"/>
      <c r="AP200" s="114"/>
      <c r="AQ200" s="114"/>
      <c r="AR200" s="114"/>
      <c r="AS200" s="114"/>
      <c r="AT200" s="114"/>
      <c r="AU200" s="114"/>
      <c r="AV200" s="114"/>
      <c r="AW200" s="114"/>
      <c r="AX200" s="114"/>
      <c r="AY200" s="114"/>
    </row>
    <row r="201" spans="1:51" x14ac:dyDescent="0.3">
      <c r="A201" s="114"/>
      <c r="B201" s="114"/>
      <c r="C201" s="114"/>
      <c r="D201" s="114"/>
      <c r="E201" s="114"/>
      <c r="F201" s="114"/>
      <c r="G201" s="114"/>
      <c r="H201" s="114"/>
      <c r="I201" s="114"/>
      <c r="J201" s="114"/>
      <c r="K201" s="114"/>
      <c r="L201" s="114"/>
      <c r="M201" s="114"/>
      <c r="N201" s="114"/>
      <c r="O201" s="114"/>
      <c r="P201" s="114"/>
      <c r="Q201" s="114"/>
      <c r="R201" s="114"/>
      <c r="S201" s="114"/>
      <c r="T201" s="114"/>
      <c r="U201" s="114"/>
      <c r="V201" s="114"/>
      <c r="W201" s="114"/>
      <c r="X201" s="114"/>
      <c r="Y201" s="114"/>
      <c r="Z201" s="114"/>
      <c r="AA201" s="114"/>
      <c r="AB201" s="114"/>
      <c r="AC201" s="114"/>
      <c r="AD201" s="114"/>
      <c r="AE201" s="114"/>
      <c r="AF201" s="114"/>
      <c r="AG201" s="114"/>
      <c r="AH201" s="114"/>
      <c r="AI201" s="114"/>
      <c r="AJ201" s="114"/>
      <c r="AK201" s="114"/>
      <c r="AL201" s="114"/>
      <c r="AM201" s="114"/>
      <c r="AN201" s="114"/>
      <c r="AO201" s="114"/>
      <c r="AP201" s="114"/>
      <c r="AQ201" s="114"/>
      <c r="AR201" s="114"/>
      <c r="AS201" s="114"/>
      <c r="AT201" s="114"/>
      <c r="AU201" s="114"/>
      <c r="AV201" s="114"/>
      <c r="AW201" s="114"/>
      <c r="AX201" s="114"/>
      <c r="AY201" s="114"/>
    </row>
    <row r="202" spans="1:51" x14ac:dyDescent="0.3">
      <c r="A202" s="114"/>
      <c r="B202" s="114"/>
      <c r="C202" s="114"/>
      <c r="D202" s="114"/>
      <c r="E202" s="114"/>
      <c r="F202" s="114"/>
      <c r="G202" s="114"/>
      <c r="H202" s="114"/>
      <c r="I202" s="114"/>
      <c r="J202" s="114"/>
      <c r="K202" s="114"/>
      <c r="L202" s="114"/>
      <c r="M202" s="114"/>
      <c r="N202" s="114"/>
      <c r="O202" s="114"/>
      <c r="P202" s="114"/>
      <c r="Q202" s="114"/>
      <c r="R202" s="114"/>
      <c r="S202" s="114"/>
      <c r="T202" s="114"/>
      <c r="U202" s="114"/>
      <c r="V202" s="114"/>
      <c r="W202" s="114"/>
      <c r="X202" s="114"/>
      <c r="Y202" s="114"/>
      <c r="Z202" s="114"/>
      <c r="AA202" s="114"/>
      <c r="AB202" s="114"/>
      <c r="AC202" s="114"/>
      <c r="AD202" s="114"/>
      <c r="AE202" s="114"/>
      <c r="AF202" s="114"/>
      <c r="AG202" s="114"/>
      <c r="AH202" s="114"/>
      <c r="AI202" s="114"/>
      <c r="AJ202" s="114"/>
      <c r="AK202" s="114"/>
      <c r="AL202" s="114"/>
      <c r="AM202" s="114"/>
      <c r="AN202" s="114"/>
      <c r="AO202" s="114"/>
      <c r="AP202" s="114"/>
      <c r="AQ202" s="114"/>
      <c r="AR202" s="114"/>
      <c r="AS202" s="114"/>
      <c r="AT202" s="114"/>
      <c r="AU202" s="114"/>
      <c r="AV202" s="114"/>
      <c r="AW202" s="114"/>
      <c r="AX202" s="114"/>
      <c r="AY202" s="114"/>
    </row>
    <row r="203" spans="1:51" x14ac:dyDescent="0.3">
      <c r="A203" s="114"/>
      <c r="B203" s="114"/>
      <c r="C203" s="114"/>
      <c r="D203" s="114"/>
      <c r="E203" s="114"/>
      <c r="F203" s="114"/>
      <c r="G203" s="114"/>
      <c r="H203" s="114"/>
      <c r="I203" s="114"/>
      <c r="J203" s="114"/>
      <c r="K203" s="114"/>
      <c r="L203" s="114"/>
      <c r="M203" s="114"/>
      <c r="N203" s="114"/>
      <c r="O203" s="114"/>
      <c r="P203" s="114"/>
      <c r="Q203" s="114"/>
      <c r="R203" s="114"/>
      <c r="S203" s="114"/>
      <c r="T203" s="114"/>
      <c r="U203" s="114"/>
      <c r="V203" s="114"/>
      <c r="W203" s="114"/>
      <c r="X203" s="114"/>
      <c r="Y203" s="114"/>
      <c r="Z203" s="114"/>
      <c r="AA203" s="114"/>
      <c r="AB203" s="114"/>
      <c r="AC203" s="114"/>
      <c r="AD203" s="114"/>
      <c r="AE203" s="114"/>
      <c r="AF203" s="114"/>
      <c r="AG203" s="114"/>
      <c r="AH203" s="114"/>
      <c r="AI203" s="114"/>
      <c r="AJ203" s="114"/>
      <c r="AK203" s="114"/>
      <c r="AL203" s="114"/>
      <c r="AM203" s="114"/>
      <c r="AN203" s="114"/>
      <c r="AO203" s="114"/>
      <c r="AP203" s="114"/>
      <c r="AQ203" s="114"/>
      <c r="AR203" s="114"/>
      <c r="AS203" s="114"/>
      <c r="AT203" s="114"/>
      <c r="AU203" s="114"/>
      <c r="AV203" s="114"/>
      <c r="AW203" s="114"/>
      <c r="AX203" s="114"/>
      <c r="AY203" s="114"/>
    </row>
    <row r="204" spans="1:51" x14ac:dyDescent="0.3">
      <c r="A204" s="114"/>
      <c r="B204" s="114"/>
      <c r="C204" s="114"/>
      <c r="D204" s="114"/>
      <c r="E204" s="114"/>
      <c r="F204" s="114"/>
      <c r="G204" s="114"/>
      <c r="H204" s="114"/>
      <c r="I204" s="114"/>
      <c r="J204" s="114"/>
      <c r="K204" s="114"/>
      <c r="L204" s="114"/>
      <c r="M204" s="114"/>
      <c r="N204" s="114"/>
      <c r="O204" s="114"/>
      <c r="P204" s="114"/>
      <c r="Q204" s="114"/>
      <c r="R204" s="114"/>
      <c r="S204" s="114"/>
      <c r="T204" s="114"/>
      <c r="U204" s="114"/>
      <c r="V204" s="114"/>
      <c r="W204" s="114"/>
      <c r="X204" s="114"/>
      <c r="Y204" s="114"/>
      <c r="Z204" s="114"/>
      <c r="AA204" s="114"/>
      <c r="AB204" s="114"/>
      <c r="AC204" s="114"/>
      <c r="AD204" s="114"/>
      <c r="AE204" s="114"/>
      <c r="AF204" s="114"/>
      <c r="AG204" s="114"/>
      <c r="AH204" s="114"/>
      <c r="AI204" s="114"/>
      <c r="AJ204" s="114"/>
      <c r="AK204" s="114"/>
      <c r="AL204" s="114"/>
      <c r="AM204" s="114"/>
      <c r="AN204" s="114"/>
      <c r="AO204" s="114"/>
      <c r="AP204" s="114"/>
      <c r="AQ204" s="114"/>
      <c r="AR204" s="114"/>
      <c r="AS204" s="114"/>
      <c r="AT204" s="114"/>
      <c r="AU204" s="114"/>
      <c r="AV204" s="114"/>
      <c r="AW204" s="114"/>
      <c r="AX204" s="114"/>
      <c r="AY204" s="114"/>
    </row>
    <row r="205" spans="1:51" x14ac:dyDescent="0.3">
      <c r="A205" s="114"/>
      <c r="B205" s="114"/>
      <c r="C205" s="114"/>
      <c r="D205" s="114"/>
      <c r="E205" s="114"/>
      <c r="F205" s="114"/>
      <c r="G205" s="114"/>
      <c r="H205" s="114"/>
      <c r="I205" s="114"/>
      <c r="J205" s="114"/>
      <c r="K205" s="114"/>
      <c r="L205" s="114"/>
      <c r="M205" s="114"/>
      <c r="N205" s="114"/>
      <c r="O205" s="114"/>
      <c r="P205" s="114"/>
      <c r="Q205" s="114"/>
      <c r="R205" s="114"/>
      <c r="S205" s="114"/>
      <c r="T205" s="114"/>
      <c r="U205" s="114"/>
      <c r="V205" s="114"/>
      <c r="W205" s="114"/>
      <c r="X205" s="114"/>
      <c r="Y205" s="114"/>
      <c r="Z205" s="114"/>
      <c r="AA205" s="114"/>
      <c r="AB205" s="114"/>
      <c r="AC205" s="114"/>
      <c r="AD205" s="114"/>
      <c r="AE205" s="114"/>
      <c r="AF205" s="114"/>
      <c r="AG205" s="114"/>
      <c r="AH205" s="114"/>
      <c r="AI205" s="114"/>
      <c r="AJ205" s="114"/>
      <c r="AK205" s="114"/>
      <c r="AL205" s="114"/>
      <c r="AM205" s="114"/>
      <c r="AN205" s="114"/>
      <c r="AO205" s="114"/>
      <c r="AP205" s="114"/>
      <c r="AQ205" s="114"/>
      <c r="AR205" s="114"/>
      <c r="AS205" s="114"/>
      <c r="AT205" s="114"/>
      <c r="AU205" s="114"/>
      <c r="AV205" s="114"/>
      <c r="AW205" s="114"/>
      <c r="AX205" s="114"/>
      <c r="AY205" s="114"/>
    </row>
    <row r="206" spans="1:51" x14ac:dyDescent="0.3">
      <c r="A206" s="114"/>
      <c r="B206" s="114"/>
      <c r="C206" s="114"/>
      <c r="D206" s="114"/>
      <c r="E206" s="114"/>
      <c r="F206" s="114"/>
      <c r="G206" s="114"/>
      <c r="H206" s="114"/>
      <c r="I206" s="114"/>
      <c r="J206" s="114"/>
      <c r="K206" s="114"/>
      <c r="L206" s="114"/>
      <c r="M206" s="114"/>
      <c r="N206" s="114"/>
      <c r="O206" s="114"/>
      <c r="P206" s="114"/>
      <c r="Q206" s="114"/>
      <c r="R206" s="114"/>
      <c r="S206" s="114"/>
      <c r="T206" s="114"/>
      <c r="U206" s="114"/>
      <c r="V206" s="114"/>
      <c r="W206" s="114"/>
      <c r="X206" s="114"/>
      <c r="Y206" s="114"/>
      <c r="Z206" s="114"/>
      <c r="AA206" s="114"/>
      <c r="AB206" s="114"/>
      <c r="AC206" s="114"/>
      <c r="AD206" s="114"/>
      <c r="AE206" s="114"/>
      <c r="AF206" s="114"/>
      <c r="AG206" s="114"/>
      <c r="AH206" s="114"/>
      <c r="AI206" s="114"/>
      <c r="AJ206" s="114"/>
      <c r="AK206" s="114"/>
      <c r="AL206" s="114"/>
      <c r="AM206" s="114"/>
      <c r="AN206" s="114"/>
      <c r="AO206" s="114"/>
      <c r="AP206" s="114"/>
      <c r="AQ206" s="114"/>
      <c r="AR206" s="114"/>
      <c r="AS206" s="114"/>
      <c r="AT206" s="114"/>
      <c r="AU206" s="114"/>
      <c r="AV206" s="114"/>
      <c r="AW206" s="114"/>
      <c r="AX206" s="114"/>
      <c r="AY206" s="114"/>
    </row>
    <row r="207" spans="1:51" x14ac:dyDescent="0.3">
      <c r="A207" s="114"/>
      <c r="B207" s="114"/>
      <c r="C207" s="114"/>
      <c r="D207" s="114"/>
      <c r="E207" s="114"/>
      <c r="F207" s="114"/>
      <c r="G207" s="114"/>
      <c r="H207" s="114"/>
      <c r="I207" s="114"/>
      <c r="J207" s="114"/>
      <c r="K207" s="114"/>
      <c r="L207" s="114"/>
      <c r="M207" s="114"/>
      <c r="N207" s="114"/>
      <c r="O207" s="114"/>
      <c r="P207" s="114"/>
      <c r="Q207" s="114"/>
      <c r="R207" s="114"/>
      <c r="S207" s="114"/>
      <c r="T207" s="114"/>
      <c r="U207" s="114"/>
      <c r="V207" s="114"/>
      <c r="W207" s="114"/>
      <c r="X207" s="114"/>
      <c r="Y207" s="114"/>
      <c r="Z207" s="114"/>
      <c r="AA207" s="114"/>
      <c r="AB207" s="114"/>
      <c r="AC207" s="114"/>
      <c r="AD207" s="114"/>
      <c r="AE207" s="114"/>
      <c r="AF207" s="114"/>
      <c r="AG207" s="114"/>
      <c r="AH207" s="114"/>
      <c r="AI207" s="114"/>
      <c r="AJ207" s="114"/>
      <c r="AK207" s="114"/>
      <c r="AL207" s="114"/>
      <c r="AM207" s="114"/>
      <c r="AN207" s="114"/>
      <c r="AO207" s="114"/>
      <c r="AP207" s="114"/>
      <c r="AQ207" s="114"/>
      <c r="AR207" s="114"/>
      <c r="AS207" s="114"/>
      <c r="AT207" s="114"/>
      <c r="AU207" s="114"/>
      <c r="AV207" s="114"/>
      <c r="AW207" s="114"/>
      <c r="AX207" s="114"/>
      <c r="AY207" s="114"/>
    </row>
    <row r="208" spans="1:51" x14ac:dyDescent="0.3">
      <c r="A208" s="114"/>
      <c r="B208" s="114"/>
      <c r="C208" s="114"/>
      <c r="D208" s="114"/>
      <c r="E208" s="114"/>
      <c r="F208" s="114"/>
      <c r="G208" s="114"/>
      <c r="H208" s="114"/>
      <c r="I208" s="114"/>
      <c r="J208" s="114"/>
      <c r="K208" s="114"/>
      <c r="L208" s="114"/>
      <c r="M208" s="114"/>
      <c r="N208" s="114"/>
      <c r="O208" s="114"/>
      <c r="P208" s="114"/>
      <c r="Q208" s="114"/>
      <c r="R208" s="114"/>
      <c r="S208" s="114"/>
      <c r="T208" s="114"/>
      <c r="U208" s="114"/>
      <c r="V208" s="114"/>
      <c r="W208" s="114"/>
      <c r="X208" s="114"/>
      <c r="Y208" s="114"/>
      <c r="Z208" s="114"/>
      <c r="AA208" s="114"/>
      <c r="AB208" s="114"/>
      <c r="AC208" s="114"/>
      <c r="AD208" s="114"/>
      <c r="AE208" s="114"/>
      <c r="AF208" s="114"/>
      <c r="AG208" s="114"/>
      <c r="AH208" s="114"/>
      <c r="AI208" s="114"/>
      <c r="AJ208" s="114"/>
      <c r="AK208" s="114"/>
      <c r="AL208" s="114"/>
      <c r="AM208" s="114"/>
      <c r="AN208" s="114"/>
      <c r="AO208" s="114"/>
      <c r="AP208" s="114"/>
      <c r="AQ208" s="114"/>
      <c r="AR208" s="114"/>
      <c r="AS208" s="114"/>
      <c r="AT208" s="114"/>
      <c r="AU208" s="114"/>
      <c r="AV208" s="114"/>
      <c r="AW208" s="114"/>
      <c r="AX208" s="114"/>
      <c r="AY208" s="114"/>
    </row>
    <row r="209" spans="1:51" x14ac:dyDescent="0.3">
      <c r="A209" s="114"/>
      <c r="B209" s="114"/>
      <c r="C209" s="114"/>
      <c r="D209" s="114"/>
      <c r="E209" s="114"/>
      <c r="F209" s="114"/>
      <c r="G209" s="114"/>
      <c r="H209" s="114"/>
      <c r="I209" s="114"/>
      <c r="J209" s="114"/>
      <c r="K209" s="114"/>
      <c r="L209" s="114"/>
      <c r="M209" s="114"/>
      <c r="N209" s="114"/>
      <c r="O209" s="114"/>
      <c r="P209" s="114"/>
      <c r="Q209" s="114"/>
      <c r="R209" s="114"/>
      <c r="S209" s="114"/>
      <c r="T209" s="114"/>
      <c r="U209" s="114"/>
      <c r="V209" s="114"/>
      <c r="W209" s="114"/>
      <c r="X209" s="114"/>
      <c r="Y209" s="114"/>
      <c r="Z209" s="114"/>
      <c r="AA209" s="114"/>
      <c r="AB209" s="114"/>
      <c r="AC209" s="114"/>
      <c r="AD209" s="114"/>
      <c r="AE209" s="114"/>
      <c r="AF209" s="114"/>
      <c r="AG209" s="114"/>
      <c r="AH209" s="114"/>
      <c r="AI209" s="114"/>
      <c r="AJ209" s="114"/>
      <c r="AK209" s="114"/>
      <c r="AL209" s="114"/>
      <c r="AM209" s="114"/>
      <c r="AN209" s="114"/>
      <c r="AO209" s="114"/>
      <c r="AP209" s="114"/>
      <c r="AQ209" s="114"/>
      <c r="AR209" s="114"/>
      <c r="AS209" s="114"/>
      <c r="AT209" s="114"/>
      <c r="AU209" s="114"/>
      <c r="AV209" s="114"/>
      <c r="AW209" s="114"/>
      <c r="AX209" s="114"/>
      <c r="AY209" s="114"/>
    </row>
    <row r="210" spans="1:51" x14ac:dyDescent="0.3">
      <c r="A210" s="114"/>
      <c r="B210" s="114"/>
      <c r="C210" s="114"/>
      <c r="D210" s="114"/>
      <c r="E210" s="114"/>
      <c r="F210" s="114"/>
      <c r="G210" s="114"/>
      <c r="H210" s="114"/>
      <c r="I210" s="114"/>
      <c r="J210" s="114"/>
      <c r="K210" s="114"/>
      <c r="L210" s="114"/>
      <c r="M210" s="114"/>
      <c r="N210" s="114"/>
      <c r="O210" s="114"/>
      <c r="P210" s="114"/>
      <c r="Q210" s="114"/>
      <c r="R210" s="114"/>
      <c r="S210" s="114"/>
      <c r="T210" s="114"/>
      <c r="U210" s="114"/>
      <c r="V210" s="114"/>
      <c r="W210" s="114"/>
      <c r="X210" s="114"/>
      <c r="Y210" s="114"/>
      <c r="Z210" s="114"/>
      <c r="AA210" s="114"/>
      <c r="AB210" s="114"/>
      <c r="AC210" s="114"/>
      <c r="AD210" s="114"/>
      <c r="AE210" s="114"/>
      <c r="AF210" s="114"/>
      <c r="AG210" s="114"/>
      <c r="AH210" s="114"/>
      <c r="AI210" s="114"/>
      <c r="AJ210" s="114"/>
      <c r="AK210" s="114"/>
      <c r="AL210" s="114"/>
      <c r="AM210" s="114"/>
      <c r="AN210" s="114"/>
      <c r="AO210" s="114"/>
      <c r="AP210" s="114"/>
      <c r="AQ210" s="114"/>
      <c r="AR210" s="114"/>
      <c r="AS210" s="114"/>
      <c r="AT210" s="114"/>
      <c r="AU210" s="114"/>
      <c r="AV210" s="114"/>
      <c r="AW210" s="114"/>
      <c r="AX210" s="114"/>
      <c r="AY210" s="114"/>
    </row>
    <row r="211" spans="1:51" x14ac:dyDescent="0.3">
      <c r="A211" s="114"/>
      <c r="B211" s="114"/>
      <c r="C211" s="114"/>
      <c r="D211" s="114"/>
      <c r="E211" s="114"/>
      <c r="F211" s="114"/>
      <c r="G211" s="114"/>
      <c r="H211" s="114"/>
      <c r="I211" s="114"/>
      <c r="J211" s="114"/>
      <c r="K211" s="114"/>
      <c r="L211" s="114"/>
      <c r="M211" s="114"/>
      <c r="N211" s="114"/>
      <c r="O211" s="114"/>
      <c r="P211" s="114"/>
      <c r="Q211" s="114"/>
      <c r="R211" s="114"/>
      <c r="S211" s="114"/>
      <c r="T211" s="114"/>
      <c r="U211" s="114"/>
      <c r="V211" s="114"/>
      <c r="W211" s="114"/>
      <c r="X211" s="114"/>
      <c r="Y211" s="114"/>
      <c r="Z211" s="114"/>
      <c r="AA211" s="114"/>
      <c r="AB211" s="114"/>
      <c r="AC211" s="114"/>
      <c r="AD211" s="114"/>
      <c r="AE211" s="114"/>
      <c r="AF211" s="114"/>
      <c r="AG211" s="114"/>
      <c r="AH211" s="114"/>
      <c r="AI211" s="114"/>
      <c r="AJ211" s="114"/>
      <c r="AK211" s="114"/>
      <c r="AL211" s="114"/>
      <c r="AM211" s="114"/>
      <c r="AN211" s="114"/>
      <c r="AO211" s="114"/>
      <c r="AP211" s="114"/>
      <c r="AQ211" s="114"/>
      <c r="AR211" s="114"/>
      <c r="AS211" s="114"/>
      <c r="AT211" s="114"/>
      <c r="AU211" s="114"/>
      <c r="AV211" s="114"/>
      <c r="AW211" s="114"/>
      <c r="AX211" s="114"/>
      <c r="AY211" s="114"/>
    </row>
    <row r="212" spans="1:51" x14ac:dyDescent="0.3">
      <c r="A212" s="114"/>
      <c r="B212" s="114"/>
      <c r="C212" s="114"/>
      <c r="D212" s="114"/>
      <c r="E212" s="114"/>
      <c r="F212" s="114"/>
      <c r="G212" s="114"/>
      <c r="H212" s="114"/>
      <c r="I212" s="114"/>
      <c r="J212" s="114"/>
      <c r="K212" s="114"/>
      <c r="L212" s="114"/>
      <c r="M212" s="114"/>
      <c r="N212" s="114"/>
      <c r="O212" s="114"/>
      <c r="P212" s="114"/>
      <c r="Q212" s="114"/>
      <c r="R212" s="114"/>
      <c r="S212" s="114"/>
      <c r="T212" s="114"/>
      <c r="U212" s="114"/>
      <c r="V212" s="114"/>
      <c r="W212" s="114"/>
      <c r="X212" s="114"/>
      <c r="Y212" s="114"/>
      <c r="Z212" s="114"/>
      <c r="AA212" s="114"/>
      <c r="AB212" s="114"/>
      <c r="AC212" s="114"/>
      <c r="AD212" s="114"/>
      <c r="AE212" s="114"/>
      <c r="AF212" s="114"/>
      <c r="AG212" s="114"/>
      <c r="AH212" s="114"/>
      <c r="AI212" s="114"/>
      <c r="AJ212" s="114"/>
      <c r="AK212" s="114"/>
      <c r="AL212" s="114"/>
      <c r="AM212" s="114"/>
      <c r="AN212" s="114"/>
      <c r="AO212" s="114"/>
      <c r="AP212" s="114"/>
      <c r="AQ212" s="114"/>
      <c r="AR212" s="114"/>
      <c r="AS212" s="114"/>
      <c r="AT212" s="114"/>
      <c r="AU212" s="114"/>
      <c r="AV212" s="114"/>
      <c r="AW212" s="114"/>
      <c r="AX212" s="114"/>
      <c r="AY212" s="114"/>
    </row>
    <row r="213" spans="1:51" x14ac:dyDescent="0.3">
      <c r="A213" s="114"/>
      <c r="B213" s="114"/>
      <c r="C213" s="114"/>
      <c r="D213" s="114"/>
      <c r="E213" s="114"/>
      <c r="F213" s="114"/>
      <c r="G213" s="114"/>
      <c r="H213" s="114"/>
      <c r="I213" s="114"/>
      <c r="J213" s="114"/>
      <c r="K213" s="114"/>
      <c r="L213" s="114"/>
      <c r="M213" s="114"/>
      <c r="N213" s="114"/>
      <c r="O213" s="114"/>
      <c r="P213" s="114"/>
      <c r="Q213" s="114"/>
      <c r="R213" s="114"/>
      <c r="S213" s="114"/>
      <c r="T213" s="114"/>
      <c r="U213" s="114"/>
      <c r="V213" s="114"/>
      <c r="W213" s="114"/>
      <c r="X213" s="114"/>
      <c r="Y213" s="114"/>
      <c r="Z213" s="114"/>
      <c r="AA213" s="114"/>
      <c r="AB213" s="114"/>
      <c r="AC213" s="114"/>
      <c r="AD213" s="114"/>
      <c r="AE213" s="114"/>
      <c r="AF213" s="114"/>
      <c r="AG213" s="114"/>
      <c r="AH213" s="114"/>
      <c r="AI213" s="114"/>
      <c r="AJ213" s="114"/>
      <c r="AK213" s="114"/>
      <c r="AL213" s="114"/>
      <c r="AM213" s="114"/>
      <c r="AN213" s="114"/>
      <c r="AO213" s="114"/>
      <c r="AP213" s="114"/>
      <c r="AQ213" s="114"/>
      <c r="AR213" s="114"/>
      <c r="AS213" s="114"/>
      <c r="AT213" s="114"/>
      <c r="AU213" s="114"/>
      <c r="AV213" s="114"/>
      <c r="AW213" s="114"/>
      <c r="AX213" s="114"/>
      <c r="AY213" s="114"/>
    </row>
    <row r="214" spans="1:51" x14ac:dyDescent="0.3">
      <c r="A214" s="114"/>
      <c r="B214" s="114"/>
      <c r="C214" s="114"/>
      <c r="D214" s="114"/>
      <c r="E214" s="114"/>
      <c r="F214" s="114"/>
      <c r="G214" s="114"/>
      <c r="H214" s="114"/>
      <c r="I214" s="114"/>
      <c r="J214" s="114"/>
      <c r="K214" s="114"/>
      <c r="L214" s="114"/>
      <c r="M214" s="114"/>
      <c r="N214" s="114"/>
      <c r="O214" s="114"/>
      <c r="P214" s="114"/>
      <c r="Q214" s="114"/>
      <c r="R214" s="114"/>
      <c r="S214" s="114"/>
      <c r="T214" s="114"/>
      <c r="U214" s="114"/>
      <c r="V214" s="114"/>
      <c r="W214" s="114"/>
      <c r="X214" s="114"/>
      <c r="Y214" s="114"/>
      <c r="Z214" s="114"/>
      <c r="AA214" s="114"/>
      <c r="AB214" s="114"/>
      <c r="AC214" s="114"/>
      <c r="AD214" s="114"/>
      <c r="AE214" s="114"/>
      <c r="AF214" s="114"/>
      <c r="AG214" s="114"/>
      <c r="AH214" s="114"/>
      <c r="AI214" s="114"/>
      <c r="AJ214" s="114"/>
      <c r="AK214" s="114"/>
      <c r="AL214" s="114"/>
      <c r="AM214" s="114"/>
      <c r="AN214" s="114"/>
      <c r="AO214" s="114"/>
      <c r="AP214" s="114"/>
      <c r="AQ214" s="114"/>
      <c r="AR214" s="114"/>
      <c r="AS214" s="114"/>
      <c r="AT214" s="114"/>
      <c r="AU214" s="114"/>
      <c r="AV214" s="114"/>
      <c r="AW214" s="114"/>
      <c r="AX214" s="114"/>
      <c r="AY214" s="114"/>
    </row>
    <row r="215" spans="1:51" x14ac:dyDescent="0.3">
      <c r="A215" s="114"/>
      <c r="B215" s="114"/>
      <c r="C215" s="114"/>
      <c r="D215" s="114"/>
      <c r="E215" s="114"/>
      <c r="F215" s="114"/>
      <c r="G215" s="114"/>
      <c r="H215" s="114"/>
      <c r="I215" s="114"/>
      <c r="J215" s="114"/>
      <c r="K215" s="114"/>
      <c r="L215" s="114"/>
      <c r="M215" s="114"/>
      <c r="N215" s="114"/>
      <c r="O215" s="114"/>
      <c r="P215" s="114"/>
      <c r="Q215" s="114"/>
      <c r="R215" s="114"/>
      <c r="S215" s="114"/>
      <c r="T215" s="114"/>
      <c r="U215" s="114"/>
      <c r="V215" s="114"/>
      <c r="W215" s="114"/>
      <c r="X215" s="114"/>
      <c r="Y215" s="114"/>
      <c r="Z215" s="114"/>
      <c r="AA215" s="114"/>
      <c r="AB215" s="114"/>
      <c r="AC215" s="114"/>
      <c r="AD215" s="114"/>
      <c r="AE215" s="114"/>
      <c r="AF215" s="114"/>
      <c r="AG215" s="114"/>
      <c r="AH215" s="114"/>
      <c r="AI215" s="114"/>
      <c r="AJ215" s="114"/>
      <c r="AK215" s="114"/>
      <c r="AL215" s="114"/>
      <c r="AM215" s="114"/>
      <c r="AN215" s="114"/>
      <c r="AO215" s="114"/>
      <c r="AP215" s="114"/>
      <c r="AQ215" s="114"/>
      <c r="AR215" s="114"/>
      <c r="AS215" s="114"/>
      <c r="AT215" s="114"/>
      <c r="AU215" s="114"/>
      <c r="AV215" s="114"/>
      <c r="AW215" s="114"/>
      <c r="AX215" s="114"/>
      <c r="AY215" s="114"/>
    </row>
    <row r="216" spans="1:51" x14ac:dyDescent="0.3">
      <c r="A216" s="114"/>
      <c r="B216" s="114"/>
      <c r="C216" s="114"/>
      <c r="D216" s="114"/>
      <c r="E216" s="114"/>
      <c r="F216" s="114"/>
      <c r="G216" s="114"/>
      <c r="H216" s="114"/>
      <c r="I216" s="114"/>
      <c r="J216" s="114"/>
      <c r="K216" s="114"/>
      <c r="L216" s="114"/>
      <c r="M216" s="114"/>
      <c r="N216" s="114"/>
      <c r="O216" s="114"/>
      <c r="P216" s="114"/>
      <c r="Q216" s="114"/>
      <c r="R216" s="114"/>
      <c r="S216" s="114"/>
      <c r="T216" s="114"/>
      <c r="U216" s="114"/>
      <c r="V216" s="114"/>
      <c r="W216" s="114"/>
      <c r="X216" s="114"/>
      <c r="Y216" s="114"/>
      <c r="Z216" s="114"/>
      <c r="AA216" s="114"/>
      <c r="AB216" s="114"/>
      <c r="AC216" s="114"/>
      <c r="AD216" s="114"/>
      <c r="AE216" s="114"/>
      <c r="AF216" s="114"/>
      <c r="AG216" s="114"/>
      <c r="AH216" s="114"/>
      <c r="AI216" s="114"/>
      <c r="AJ216" s="114"/>
      <c r="AK216" s="114"/>
      <c r="AL216" s="114"/>
      <c r="AM216" s="114"/>
      <c r="AN216" s="114"/>
      <c r="AO216" s="114"/>
      <c r="AP216" s="114"/>
      <c r="AQ216" s="114"/>
      <c r="AR216" s="114"/>
      <c r="AS216" s="114"/>
      <c r="AT216" s="114"/>
      <c r="AU216" s="114"/>
      <c r="AV216" s="114"/>
      <c r="AW216" s="114"/>
      <c r="AX216" s="114"/>
      <c r="AY216" s="114"/>
    </row>
    <row r="217" spans="1:51" x14ac:dyDescent="0.3">
      <c r="A217" s="72"/>
      <c r="B217" s="72"/>
      <c r="C217" s="72"/>
      <c r="D217" s="72"/>
      <c r="E217" s="72"/>
      <c r="F217" s="72"/>
      <c r="G217" s="72"/>
      <c r="H217" s="72"/>
      <c r="I217" s="72"/>
      <c r="J217" s="72"/>
      <c r="K217" s="72"/>
      <c r="L217" s="72"/>
      <c r="M217" s="72"/>
      <c r="N217" s="72"/>
      <c r="O217" s="72"/>
      <c r="P217" s="72"/>
      <c r="Q217" s="72"/>
      <c r="R217" s="72"/>
      <c r="S217" s="72"/>
      <c r="T217" s="72"/>
      <c r="U217" s="72"/>
      <c r="V217" s="72"/>
      <c r="W217" s="72"/>
      <c r="X217" s="72"/>
      <c r="Y217" s="72"/>
      <c r="Z217" s="72"/>
      <c r="AA217" s="72"/>
      <c r="AB217" s="72"/>
      <c r="AC217" s="72"/>
      <c r="AD217" s="72"/>
      <c r="AE217" s="72"/>
      <c r="AF217" s="72"/>
      <c r="AG217" s="72"/>
      <c r="AH217" s="72"/>
      <c r="AI217" s="72"/>
      <c r="AJ217" s="72"/>
      <c r="AK217" s="72"/>
      <c r="AL217" s="72"/>
      <c r="AM217" s="72"/>
      <c r="AN217" s="72"/>
      <c r="AO217" s="72"/>
      <c r="AP217" s="72"/>
      <c r="AQ217" s="72"/>
      <c r="AR217" s="72"/>
      <c r="AS217" s="72"/>
      <c r="AT217" s="72"/>
      <c r="AU217" s="72"/>
      <c r="AV217" s="72"/>
      <c r="AW217" s="72"/>
      <c r="AX217" s="72"/>
      <c r="AY217" s="72"/>
    </row>
  </sheetData>
  <protectedRanges>
    <protectedRange password="C03F" sqref="F21 F13 F15:F16" name="Range1_1"/>
  </protectedRanges>
  <mergeCells count="163">
    <mergeCell ref="B52:D52"/>
    <mergeCell ref="E52:G52"/>
    <mergeCell ref="I51:N51"/>
    <mergeCell ref="B51:D51"/>
    <mergeCell ref="E51:G51"/>
    <mergeCell ref="I52:N52"/>
    <mergeCell ref="J21:L21"/>
    <mergeCell ref="B13:D13"/>
    <mergeCell ref="B14:D14"/>
    <mergeCell ref="B15:D15"/>
    <mergeCell ref="B16:D16"/>
    <mergeCell ref="B23:G23"/>
    <mergeCell ref="B24:D24"/>
    <mergeCell ref="M14:N14"/>
    <mergeCell ref="M15:N15"/>
    <mergeCell ref="E24:G24"/>
    <mergeCell ref="E25:G25"/>
    <mergeCell ref="E26:G26"/>
    <mergeCell ref="B27:D27"/>
    <mergeCell ref="B28:D28"/>
    <mergeCell ref="B29:D29"/>
    <mergeCell ref="B30:D30"/>
    <mergeCell ref="B31:D31"/>
    <mergeCell ref="I36:N36"/>
    <mergeCell ref="B49:G49"/>
    <mergeCell ref="I49:N49"/>
    <mergeCell ref="B50:D50"/>
    <mergeCell ref="E50:G50"/>
    <mergeCell ref="I50:N50"/>
    <mergeCell ref="M16:N16"/>
    <mergeCell ref="M17:N17"/>
    <mergeCell ref="M18:N18"/>
    <mergeCell ref="J13:N13"/>
    <mergeCell ref="I24:N24"/>
    <mergeCell ref="E27:G27"/>
    <mergeCell ref="I25:N25"/>
    <mergeCell ref="I26:N26"/>
    <mergeCell ref="I27:N27"/>
    <mergeCell ref="E21:H21"/>
    <mergeCell ref="M19:N19"/>
    <mergeCell ref="M20:N20"/>
    <mergeCell ref="M21:N21"/>
    <mergeCell ref="B18:F18"/>
    <mergeCell ref="B19:F19"/>
    <mergeCell ref="G18:H18"/>
    <mergeCell ref="G19:H19"/>
    <mergeCell ref="I23:N23"/>
    <mergeCell ref="B38:G38"/>
    <mergeCell ref="I38:N38"/>
    <mergeCell ref="B39:D39"/>
    <mergeCell ref="E39:G39"/>
    <mergeCell ref="I39:N39"/>
    <mergeCell ref="E36:G36"/>
    <mergeCell ref="B36:D36"/>
    <mergeCell ref="F1:M1"/>
    <mergeCell ref="E10:K10"/>
    <mergeCell ref="L10:N10"/>
    <mergeCell ref="B11:D11"/>
    <mergeCell ref="E11:K11"/>
    <mergeCell ref="L11:N11"/>
    <mergeCell ref="J8:N8"/>
    <mergeCell ref="B7:D7"/>
    <mergeCell ref="B2:N5"/>
    <mergeCell ref="B8:D8"/>
    <mergeCell ref="B9:D9"/>
    <mergeCell ref="E9:N9"/>
    <mergeCell ref="B10:D10"/>
    <mergeCell ref="E7:H7"/>
    <mergeCell ref="J7:N7"/>
    <mergeCell ref="E8:H8"/>
    <mergeCell ref="I28:N28"/>
    <mergeCell ref="I29:N29"/>
    <mergeCell ref="I30:N30"/>
    <mergeCell ref="I31:N31"/>
    <mergeCell ref="I32:N32"/>
    <mergeCell ref="I33:N33"/>
    <mergeCell ref="I34:N34"/>
    <mergeCell ref="I35:N35"/>
    <mergeCell ref="B25:D25"/>
    <mergeCell ref="B26:D26"/>
    <mergeCell ref="B32:D32"/>
    <mergeCell ref="B33:D33"/>
    <mergeCell ref="B34:D34"/>
    <mergeCell ref="B35:D35"/>
    <mergeCell ref="E28:G28"/>
    <mergeCell ref="E29:G29"/>
    <mergeCell ref="E30:G30"/>
    <mergeCell ref="E31:G31"/>
    <mergeCell ref="E32:G32"/>
    <mergeCell ref="E33:G33"/>
    <mergeCell ref="E34:G34"/>
    <mergeCell ref="E35:G35"/>
    <mergeCell ref="B57:D57"/>
    <mergeCell ref="F57:G57"/>
    <mergeCell ref="B58:D58"/>
    <mergeCell ref="F58:G58"/>
    <mergeCell ref="B59:D59"/>
    <mergeCell ref="F59:G59"/>
    <mergeCell ref="I55:N55"/>
    <mergeCell ref="B55:D55"/>
    <mergeCell ref="F54:G54"/>
    <mergeCell ref="F55:G55"/>
    <mergeCell ref="B56:D56"/>
    <mergeCell ref="F56:G56"/>
    <mergeCell ref="I57:N57"/>
    <mergeCell ref="I58:N58"/>
    <mergeCell ref="I59:N59"/>
    <mergeCell ref="I62:N62"/>
    <mergeCell ref="I63:N63"/>
    <mergeCell ref="I64:N64"/>
    <mergeCell ref="B60:D60"/>
    <mergeCell ref="F60:G60"/>
    <mergeCell ref="B61:D61"/>
    <mergeCell ref="F61:G61"/>
    <mergeCell ref="B62:D62"/>
    <mergeCell ref="F62:G62"/>
    <mergeCell ref="I60:N60"/>
    <mergeCell ref="I61:N61"/>
    <mergeCell ref="B47:D47"/>
    <mergeCell ref="E47:G47"/>
    <mergeCell ref="I40:N40"/>
    <mergeCell ref="I41:N41"/>
    <mergeCell ref="I42:N42"/>
    <mergeCell ref="I43:N43"/>
    <mergeCell ref="I44:N44"/>
    <mergeCell ref="B45:D45"/>
    <mergeCell ref="E45:G45"/>
    <mergeCell ref="B46:D46"/>
    <mergeCell ref="E46:G46"/>
    <mergeCell ref="B43:D43"/>
    <mergeCell ref="E43:G43"/>
    <mergeCell ref="B44:D44"/>
    <mergeCell ref="E44:G44"/>
    <mergeCell ref="B40:D40"/>
    <mergeCell ref="E40:G40"/>
    <mergeCell ref="B41:D41"/>
    <mergeCell ref="E41:G41"/>
    <mergeCell ref="B42:D42"/>
    <mergeCell ref="E42:G42"/>
    <mergeCell ref="E14:H14"/>
    <mergeCell ref="B65:D65"/>
    <mergeCell ref="F65:G65"/>
    <mergeCell ref="I65:N65"/>
    <mergeCell ref="E13:H13"/>
    <mergeCell ref="E15:H15"/>
    <mergeCell ref="E16:H16"/>
    <mergeCell ref="J20:L20"/>
    <mergeCell ref="J19:L19"/>
    <mergeCell ref="J18:L18"/>
    <mergeCell ref="J17:L17"/>
    <mergeCell ref="J16:L16"/>
    <mergeCell ref="J15:L15"/>
    <mergeCell ref="J14:L14"/>
    <mergeCell ref="B63:D63"/>
    <mergeCell ref="F63:G63"/>
    <mergeCell ref="B64:D64"/>
    <mergeCell ref="F64:G64"/>
    <mergeCell ref="I56:N56"/>
    <mergeCell ref="B21:D21"/>
    <mergeCell ref="I45:N45"/>
    <mergeCell ref="I46:N46"/>
    <mergeCell ref="I47:N47"/>
    <mergeCell ref="B53:G53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portrait" horizontalDpi="300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AD71016-1B72-4815-A999-F700A9459541}">
          <x14:formula1>
            <xm:f>'Material Cost'!$G$2:$G$17</xm:f>
          </x14:formula1>
          <xm:sqref>E10</xm:sqref>
        </x14:dataValidation>
        <x14:dataValidation type="list" allowBlank="1" showInputMessage="1" showErrorMessage="1" xr:uid="{53367B88-207B-4AC8-8D45-7A1623B5C2B1}">
          <x14:formula1>
            <xm:f>Technicians!$A$2:$A$16</xm:f>
          </x14:formula1>
          <xm:sqref>E21:H21</xm:sqref>
        </x14:dataValidation>
        <x14:dataValidation type="list" allowBlank="1" showInputMessage="1" showErrorMessage="1" xr:uid="{5EF45556-7EA9-4F5D-9F38-4568BEDC0B5A}">
          <x14:formula1>
            <xm:f>'Cost Center'!$A$2:$A$5</xm:f>
          </x14:formula1>
          <xm:sqref>E11:K11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F9E77-C624-483E-B403-5D6C9B200483}">
  <sheetPr>
    <pageSetUpPr fitToPage="1"/>
  </sheetPr>
  <dimension ref="A1:P93"/>
  <sheetViews>
    <sheetView tabSelected="1" topLeftCell="A41" zoomScaleNormal="100" workbookViewId="0">
      <selection activeCell="G5" sqref="G5"/>
    </sheetView>
  </sheetViews>
  <sheetFormatPr baseColWidth="10" defaultRowHeight="14.4" x14ac:dyDescent="0.3"/>
  <cols>
    <col min="1" max="1" width="60.33203125" customWidth="1"/>
    <col min="2" max="3" width="12.6640625" customWidth="1"/>
    <col min="5" max="5" width="11.44140625"/>
    <col min="7" max="7" width="15.33203125" bestFit="1" customWidth="1"/>
    <col min="8" max="8" width="18.109375" customWidth="1"/>
    <col min="9" max="9" width="79.6640625" bestFit="1" customWidth="1"/>
    <col min="10" max="10" width="15.6640625" customWidth="1"/>
    <col min="258" max="258" width="55" customWidth="1"/>
    <col min="260" max="260" width="12.6640625" customWidth="1"/>
    <col min="264" max="264" width="79.6640625" bestFit="1" customWidth="1"/>
    <col min="514" max="514" width="55" customWidth="1"/>
    <col min="516" max="516" width="12.6640625" customWidth="1"/>
    <col min="520" max="520" width="79.6640625" bestFit="1" customWidth="1"/>
    <col min="770" max="770" width="55" customWidth="1"/>
    <col min="772" max="772" width="12.6640625" customWidth="1"/>
    <col min="776" max="776" width="79.6640625" bestFit="1" customWidth="1"/>
    <col min="1026" max="1026" width="55" customWidth="1"/>
    <col min="1028" max="1028" width="12.6640625" customWidth="1"/>
    <col min="1032" max="1032" width="79.6640625" bestFit="1" customWidth="1"/>
    <col min="1282" max="1282" width="55" customWidth="1"/>
    <col min="1284" max="1284" width="12.6640625" customWidth="1"/>
    <col min="1288" max="1288" width="79.6640625" bestFit="1" customWidth="1"/>
    <col min="1538" max="1538" width="55" customWidth="1"/>
    <col min="1540" max="1540" width="12.6640625" customWidth="1"/>
    <col min="1544" max="1544" width="79.6640625" bestFit="1" customWidth="1"/>
    <col min="1794" max="1794" width="55" customWidth="1"/>
    <col min="1796" max="1796" width="12.6640625" customWidth="1"/>
    <col min="1800" max="1800" width="79.6640625" bestFit="1" customWidth="1"/>
    <col min="2050" max="2050" width="55" customWidth="1"/>
    <col min="2052" max="2052" width="12.6640625" customWidth="1"/>
    <col min="2056" max="2056" width="79.6640625" bestFit="1" customWidth="1"/>
    <col min="2306" max="2306" width="55" customWidth="1"/>
    <col min="2308" max="2308" width="12.6640625" customWidth="1"/>
    <col min="2312" max="2312" width="79.6640625" bestFit="1" customWidth="1"/>
    <col min="2562" max="2562" width="55" customWidth="1"/>
    <col min="2564" max="2564" width="12.6640625" customWidth="1"/>
    <col min="2568" max="2568" width="79.6640625" bestFit="1" customWidth="1"/>
    <col min="2818" max="2818" width="55" customWidth="1"/>
    <col min="2820" max="2820" width="12.6640625" customWidth="1"/>
    <col min="2824" max="2824" width="79.6640625" bestFit="1" customWidth="1"/>
    <col min="3074" max="3074" width="55" customWidth="1"/>
    <col min="3076" max="3076" width="12.6640625" customWidth="1"/>
    <col min="3080" max="3080" width="79.6640625" bestFit="1" customWidth="1"/>
    <col min="3330" max="3330" width="55" customWidth="1"/>
    <col min="3332" max="3332" width="12.6640625" customWidth="1"/>
    <col min="3336" max="3336" width="79.6640625" bestFit="1" customWidth="1"/>
    <col min="3586" max="3586" width="55" customWidth="1"/>
    <col min="3588" max="3588" width="12.6640625" customWidth="1"/>
    <col min="3592" max="3592" width="79.6640625" bestFit="1" customWidth="1"/>
    <col min="3842" max="3842" width="55" customWidth="1"/>
    <col min="3844" max="3844" width="12.6640625" customWidth="1"/>
    <col min="3848" max="3848" width="79.6640625" bestFit="1" customWidth="1"/>
    <col min="4098" max="4098" width="55" customWidth="1"/>
    <col min="4100" max="4100" width="12.6640625" customWidth="1"/>
    <col min="4104" max="4104" width="79.6640625" bestFit="1" customWidth="1"/>
    <col min="4354" max="4354" width="55" customWidth="1"/>
    <col min="4356" max="4356" width="12.6640625" customWidth="1"/>
    <col min="4360" max="4360" width="79.6640625" bestFit="1" customWidth="1"/>
    <col min="4610" max="4610" width="55" customWidth="1"/>
    <col min="4612" max="4612" width="12.6640625" customWidth="1"/>
    <col min="4616" max="4616" width="79.6640625" bestFit="1" customWidth="1"/>
    <col min="4866" max="4866" width="55" customWidth="1"/>
    <col min="4868" max="4868" width="12.6640625" customWidth="1"/>
    <col min="4872" max="4872" width="79.6640625" bestFit="1" customWidth="1"/>
    <col min="5122" max="5122" width="55" customWidth="1"/>
    <col min="5124" max="5124" width="12.6640625" customWidth="1"/>
    <col min="5128" max="5128" width="79.6640625" bestFit="1" customWidth="1"/>
    <col min="5378" max="5378" width="55" customWidth="1"/>
    <col min="5380" max="5380" width="12.6640625" customWidth="1"/>
    <col min="5384" max="5384" width="79.6640625" bestFit="1" customWidth="1"/>
    <col min="5634" max="5634" width="55" customWidth="1"/>
    <col min="5636" max="5636" width="12.6640625" customWidth="1"/>
    <col min="5640" max="5640" width="79.6640625" bestFit="1" customWidth="1"/>
    <col min="5890" max="5890" width="55" customWidth="1"/>
    <col min="5892" max="5892" width="12.6640625" customWidth="1"/>
    <col min="5896" max="5896" width="79.6640625" bestFit="1" customWidth="1"/>
    <col min="6146" max="6146" width="55" customWidth="1"/>
    <col min="6148" max="6148" width="12.6640625" customWidth="1"/>
    <col min="6152" max="6152" width="79.6640625" bestFit="1" customWidth="1"/>
    <col min="6402" max="6402" width="55" customWidth="1"/>
    <col min="6404" max="6404" width="12.6640625" customWidth="1"/>
    <col min="6408" max="6408" width="79.6640625" bestFit="1" customWidth="1"/>
    <col min="6658" max="6658" width="55" customWidth="1"/>
    <col min="6660" max="6660" width="12.6640625" customWidth="1"/>
    <col min="6664" max="6664" width="79.6640625" bestFit="1" customWidth="1"/>
    <col min="6914" max="6914" width="55" customWidth="1"/>
    <col min="6916" max="6916" width="12.6640625" customWidth="1"/>
    <col min="6920" max="6920" width="79.6640625" bestFit="1" customWidth="1"/>
    <col min="7170" max="7170" width="55" customWidth="1"/>
    <col min="7172" max="7172" width="12.6640625" customWidth="1"/>
    <col min="7176" max="7176" width="79.6640625" bestFit="1" customWidth="1"/>
    <col min="7426" max="7426" width="55" customWidth="1"/>
    <col min="7428" max="7428" width="12.6640625" customWidth="1"/>
    <col min="7432" max="7432" width="79.6640625" bestFit="1" customWidth="1"/>
    <col min="7682" max="7682" width="55" customWidth="1"/>
    <col min="7684" max="7684" width="12.6640625" customWidth="1"/>
    <col min="7688" max="7688" width="79.6640625" bestFit="1" customWidth="1"/>
    <col min="7938" max="7938" width="55" customWidth="1"/>
    <col min="7940" max="7940" width="12.6640625" customWidth="1"/>
    <col min="7944" max="7944" width="79.6640625" bestFit="1" customWidth="1"/>
    <col min="8194" max="8194" width="55" customWidth="1"/>
    <col min="8196" max="8196" width="12.6640625" customWidth="1"/>
    <col min="8200" max="8200" width="79.6640625" bestFit="1" customWidth="1"/>
    <col min="8450" max="8450" width="55" customWidth="1"/>
    <col min="8452" max="8452" width="12.6640625" customWidth="1"/>
    <col min="8456" max="8456" width="79.6640625" bestFit="1" customWidth="1"/>
    <col min="8706" max="8706" width="55" customWidth="1"/>
    <col min="8708" max="8708" width="12.6640625" customWidth="1"/>
    <col min="8712" max="8712" width="79.6640625" bestFit="1" customWidth="1"/>
    <col min="8962" max="8962" width="55" customWidth="1"/>
    <col min="8964" max="8964" width="12.6640625" customWidth="1"/>
    <col min="8968" max="8968" width="79.6640625" bestFit="1" customWidth="1"/>
    <col min="9218" max="9218" width="55" customWidth="1"/>
    <col min="9220" max="9220" width="12.6640625" customWidth="1"/>
    <col min="9224" max="9224" width="79.6640625" bestFit="1" customWidth="1"/>
    <col min="9474" max="9474" width="55" customWidth="1"/>
    <col min="9476" max="9476" width="12.6640625" customWidth="1"/>
    <col min="9480" max="9480" width="79.6640625" bestFit="1" customWidth="1"/>
    <col min="9730" max="9730" width="55" customWidth="1"/>
    <col min="9732" max="9732" width="12.6640625" customWidth="1"/>
    <col min="9736" max="9736" width="79.6640625" bestFit="1" customWidth="1"/>
    <col min="9986" max="9986" width="55" customWidth="1"/>
    <col min="9988" max="9988" width="12.6640625" customWidth="1"/>
    <col min="9992" max="9992" width="79.6640625" bestFit="1" customWidth="1"/>
    <col min="10242" max="10242" width="55" customWidth="1"/>
    <col min="10244" max="10244" width="12.6640625" customWidth="1"/>
    <col min="10248" max="10248" width="79.6640625" bestFit="1" customWidth="1"/>
    <col min="10498" max="10498" width="55" customWidth="1"/>
    <col min="10500" max="10500" width="12.6640625" customWidth="1"/>
    <col min="10504" max="10504" width="79.6640625" bestFit="1" customWidth="1"/>
    <col min="10754" max="10754" width="55" customWidth="1"/>
    <col min="10756" max="10756" width="12.6640625" customWidth="1"/>
    <col min="10760" max="10760" width="79.6640625" bestFit="1" customWidth="1"/>
    <col min="11010" max="11010" width="55" customWidth="1"/>
    <col min="11012" max="11012" width="12.6640625" customWidth="1"/>
    <col min="11016" max="11016" width="79.6640625" bestFit="1" customWidth="1"/>
    <col min="11266" max="11266" width="55" customWidth="1"/>
    <col min="11268" max="11268" width="12.6640625" customWidth="1"/>
    <col min="11272" max="11272" width="79.6640625" bestFit="1" customWidth="1"/>
    <col min="11522" max="11522" width="55" customWidth="1"/>
    <col min="11524" max="11524" width="12.6640625" customWidth="1"/>
    <col min="11528" max="11528" width="79.6640625" bestFit="1" customWidth="1"/>
    <col min="11778" max="11778" width="55" customWidth="1"/>
    <col min="11780" max="11780" width="12.6640625" customWidth="1"/>
    <col min="11784" max="11784" width="79.6640625" bestFit="1" customWidth="1"/>
    <col min="12034" max="12034" width="55" customWidth="1"/>
    <col min="12036" max="12036" width="12.6640625" customWidth="1"/>
    <col min="12040" max="12040" width="79.6640625" bestFit="1" customWidth="1"/>
    <col min="12290" max="12290" width="55" customWidth="1"/>
    <col min="12292" max="12292" width="12.6640625" customWidth="1"/>
    <col min="12296" max="12296" width="79.6640625" bestFit="1" customWidth="1"/>
    <col min="12546" max="12546" width="55" customWidth="1"/>
    <col min="12548" max="12548" width="12.6640625" customWidth="1"/>
    <col min="12552" max="12552" width="79.6640625" bestFit="1" customWidth="1"/>
    <col min="12802" max="12802" width="55" customWidth="1"/>
    <col min="12804" max="12804" width="12.6640625" customWidth="1"/>
    <col min="12808" max="12808" width="79.6640625" bestFit="1" customWidth="1"/>
    <col min="13058" max="13058" width="55" customWidth="1"/>
    <col min="13060" max="13060" width="12.6640625" customWidth="1"/>
    <col min="13064" max="13064" width="79.6640625" bestFit="1" customWidth="1"/>
    <col min="13314" max="13314" width="55" customWidth="1"/>
    <col min="13316" max="13316" width="12.6640625" customWidth="1"/>
    <col min="13320" max="13320" width="79.6640625" bestFit="1" customWidth="1"/>
    <col min="13570" max="13570" width="55" customWidth="1"/>
    <col min="13572" max="13572" width="12.6640625" customWidth="1"/>
    <col min="13576" max="13576" width="79.6640625" bestFit="1" customWidth="1"/>
    <col min="13826" max="13826" width="55" customWidth="1"/>
    <col min="13828" max="13828" width="12.6640625" customWidth="1"/>
    <col min="13832" max="13832" width="79.6640625" bestFit="1" customWidth="1"/>
    <col min="14082" max="14082" width="55" customWidth="1"/>
    <col min="14084" max="14084" width="12.6640625" customWidth="1"/>
    <col min="14088" max="14088" width="79.6640625" bestFit="1" customWidth="1"/>
    <col min="14338" max="14338" width="55" customWidth="1"/>
    <col min="14340" max="14340" width="12.6640625" customWidth="1"/>
    <col min="14344" max="14344" width="79.6640625" bestFit="1" customWidth="1"/>
    <col min="14594" max="14594" width="55" customWidth="1"/>
    <col min="14596" max="14596" width="12.6640625" customWidth="1"/>
    <col min="14600" max="14600" width="79.6640625" bestFit="1" customWidth="1"/>
    <col min="14850" max="14850" width="55" customWidth="1"/>
    <col min="14852" max="14852" width="12.6640625" customWidth="1"/>
    <col min="14856" max="14856" width="79.6640625" bestFit="1" customWidth="1"/>
    <col min="15106" max="15106" width="55" customWidth="1"/>
    <col min="15108" max="15108" width="12.6640625" customWidth="1"/>
    <col min="15112" max="15112" width="79.6640625" bestFit="1" customWidth="1"/>
    <col min="15362" max="15362" width="55" customWidth="1"/>
    <col min="15364" max="15364" width="12.6640625" customWidth="1"/>
    <col min="15368" max="15368" width="79.6640625" bestFit="1" customWidth="1"/>
    <col min="15618" max="15618" width="55" customWidth="1"/>
    <col min="15620" max="15620" width="12.6640625" customWidth="1"/>
    <col min="15624" max="15624" width="79.6640625" bestFit="1" customWidth="1"/>
    <col min="15874" max="15874" width="55" customWidth="1"/>
    <col min="15876" max="15876" width="12.6640625" customWidth="1"/>
    <col min="15880" max="15880" width="79.6640625" bestFit="1" customWidth="1"/>
    <col min="16130" max="16130" width="55" customWidth="1"/>
    <col min="16132" max="16132" width="12.6640625" customWidth="1"/>
    <col min="16136" max="16136" width="79.6640625" bestFit="1" customWidth="1"/>
  </cols>
  <sheetData>
    <row r="1" spans="1:13" ht="24" customHeight="1" thickBot="1" x14ac:dyDescent="0.35">
      <c r="A1" s="388" t="s">
        <v>984</v>
      </c>
      <c r="B1" s="388"/>
      <c r="C1" s="388"/>
      <c r="D1" s="388"/>
      <c r="E1" s="92"/>
    </row>
    <row r="2" spans="1:13" ht="26.25" customHeight="1" thickBot="1" x14ac:dyDescent="0.35">
      <c r="A2" s="115" t="s">
        <v>871</v>
      </c>
      <c r="B2" s="115" t="s">
        <v>872</v>
      </c>
      <c r="C2" s="115" t="s">
        <v>873</v>
      </c>
      <c r="D2" s="115" t="s">
        <v>808</v>
      </c>
      <c r="E2" s="93"/>
      <c r="G2" s="389" t="s">
        <v>819</v>
      </c>
      <c r="H2" s="390"/>
      <c r="I2" s="100"/>
    </row>
    <row r="3" spans="1:13" ht="15.75" customHeight="1" thickBot="1" x14ac:dyDescent="0.35">
      <c r="A3" s="116" t="s">
        <v>864</v>
      </c>
      <c r="B3" s="119"/>
      <c r="C3" s="119"/>
      <c r="D3" s="119"/>
      <c r="E3" s="94"/>
      <c r="G3" s="140" t="s">
        <v>922</v>
      </c>
      <c r="H3" s="141"/>
      <c r="I3" s="101"/>
      <c r="K3" s="76"/>
      <c r="M3" s="74"/>
    </row>
    <row r="4" spans="1:13" ht="12.75" customHeight="1" thickBot="1" x14ac:dyDescent="0.35">
      <c r="A4" s="117" t="s">
        <v>815</v>
      </c>
      <c r="B4" s="251">
        <v>1</v>
      </c>
      <c r="C4" s="121">
        <v>150</v>
      </c>
      <c r="D4" s="121">
        <f>(B4*C4)</f>
        <v>150</v>
      </c>
      <c r="E4" s="91"/>
      <c r="F4" s="77"/>
      <c r="G4" s="145">
        <v>150</v>
      </c>
      <c r="H4" s="145">
        <f>B4*G4</f>
        <v>150</v>
      </c>
      <c r="I4" s="142" t="s">
        <v>813</v>
      </c>
    </row>
    <row r="5" spans="1:13" ht="12.75" customHeight="1" thickBot="1" x14ac:dyDescent="0.35">
      <c r="A5" s="118" t="s">
        <v>865</v>
      </c>
      <c r="B5" s="251"/>
      <c r="C5" s="121">
        <v>51</v>
      </c>
      <c r="D5" s="121">
        <f t="shared" ref="D5:D17" si="0">+B5*C5</f>
        <v>0</v>
      </c>
      <c r="E5" s="91"/>
      <c r="F5" s="77"/>
      <c r="G5" s="146">
        <v>50</v>
      </c>
      <c r="H5" s="145">
        <f t="shared" ref="H5:H17" si="1">G5*B5</f>
        <v>0</v>
      </c>
      <c r="I5" s="143" t="s">
        <v>865</v>
      </c>
    </row>
    <row r="6" spans="1:13" ht="12.75" customHeight="1" thickBot="1" x14ac:dyDescent="0.35">
      <c r="A6" s="117" t="s">
        <v>954</v>
      </c>
      <c r="B6" s="251">
        <v>5</v>
      </c>
      <c r="C6" s="121">
        <v>43.41</v>
      </c>
      <c r="D6" s="121">
        <f t="shared" si="0"/>
        <v>217.04999999999998</v>
      </c>
      <c r="E6" s="262"/>
      <c r="F6" s="77"/>
      <c r="G6" s="147">
        <v>38.409999999999997</v>
      </c>
      <c r="H6" s="145">
        <f t="shared" si="1"/>
        <v>192.04999999999998</v>
      </c>
      <c r="I6" s="143" t="s">
        <v>866</v>
      </c>
      <c r="J6" s="86"/>
    </row>
    <row r="7" spans="1:13" ht="14.25" customHeight="1" thickBot="1" x14ac:dyDescent="0.35">
      <c r="A7" s="117" t="s">
        <v>969</v>
      </c>
      <c r="B7" s="282"/>
      <c r="C7" s="121">
        <v>51</v>
      </c>
      <c r="D7" s="121">
        <f t="shared" si="0"/>
        <v>0</v>
      </c>
      <c r="E7" s="260"/>
      <c r="F7" s="77"/>
      <c r="G7" s="147">
        <v>46.09</v>
      </c>
      <c r="H7" s="145">
        <f t="shared" si="1"/>
        <v>0</v>
      </c>
      <c r="I7" s="144" t="s">
        <v>867</v>
      </c>
      <c r="J7" s="86"/>
    </row>
    <row r="8" spans="1:13" ht="13.5" customHeight="1" thickBot="1" x14ac:dyDescent="0.35">
      <c r="A8" s="117" t="s">
        <v>987</v>
      </c>
      <c r="B8" s="251"/>
      <c r="C8" s="121">
        <v>78</v>
      </c>
      <c r="D8" s="121">
        <f t="shared" si="0"/>
        <v>0</v>
      </c>
      <c r="E8" s="260"/>
      <c r="F8" s="77"/>
      <c r="G8" s="147">
        <v>69</v>
      </c>
      <c r="H8" s="145">
        <f t="shared" si="1"/>
        <v>0</v>
      </c>
      <c r="I8" s="142" t="s">
        <v>868</v>
      </c>
      <c r="J8" s="86"/>
    </row>
    <row r="9" spans="1:13" ht="12.75" customHeight="1" thickBot="1" x14ac:dyDescent="0.35">
      <c r="A9" s="117" t="s">
        <v>977</v>
      </c>
      <c r="B9" s="251"/>
      <c r="C9" s="121">
        <v>15</v>
      </c>
      <c r="D9" s="121">
        <f>+B9*C9</f>
        <v>0</v>
      </c>
      <c r="E9" s="91"/>
      <c r="G9" s="147">
        <v>12</v>
      </c>
      <c r="H9" s="145">
        <f>G9*B9</f>
        <v>0</v>
      </c>
      <c r="I9" s="142" t="s">
        <v>869</v>
      </c>
      <c r="J9" s="86"/>
    </row>
    <row r="10" spans="1:13" ht="12.75" customHeight="1" thickBot="1" x14ac:dyDescent="0.35">
      <c r="A10" s="117" t="s">
        <v>870</v>
      </c>
      <c r="B10" s="251"/>
      <c r="C10" s="121">
        <f>C6*1.2</f>
        <v>52.091999999999992</v>
      </c>
      <c r="D10" s="121">
        <f t="shared" si="0"/>
        <v>0</v>
      </c>
      <c r="E10" s="91"/>
      <c r="G10" s="147">
        <f t="shared" ref="G10:G11" si="2">G6*1.2</f>
        <v>46.091999999999992</v>
      </c>
      <c r="H10" s="145">
        <f t="shared" si="1"/>
        <v>0</v>
      </c>
      <c r="I10" s="142" t="s">
        <v>870</v>
      </c>
      <c r="M10" s="87"/>
    </row>
    <row r="11" spans="1:13" ht="12.75" customHeight="1" thickBot="1" x14ac:dyDescent="0.35">
      <c r="A11" s="117" t="s">
        <v>874</v>
      </c>
      <c r="B11" s="251"/>
      <c r="C11" s="121">
        <f t="shared" ref="C11" si="3">C7*1.2</f>
        <v>61.199999999999996</v>
      </c>
      <c r="D11" s="121">
        <f t="shared" si="0"/>
        <v>0</v>
      </c>
      <c r="E11" s="91"/>
      <c r="G11" s="147">
        <f t="shared" si="2"/>
        <v>55.308</v>
      </c>
      <c r="H11" s="145">
        <f t="shared" si="1"/>
        <v>0</v>
      </c>
      <c r="I11" s="142" t="s">
        <v>874</v>
      </c>
      <c r="J11" s="86"/>
    </row>
    <row r="12" spans="1:13" ht="12.75" customHeight="1" thickBot="1" x14ac:dyDescent="0.35">
      <c r="A12" s="117" t="s">
        <v>990</v>
      </c>
      <c r="B12" s="251"/>
      <c r="C12" s="121">
        <v>18</v>
      </c>
      <c r="D12" s="121">
        <f t="shared" si="0"/>
        <v>0</v>
      </c>
      <c r="E12" s="91"/>
      <c r="G12" s="147">
        <v>30</v>
      </c>
      <c r="H12" s="145">
        <f t="shared" si="1"/>
        <v>0</v>
      </c>
      <c r="I12" s="142" t="s">
        <v>956</v>
      </c>
      <c r="J12" s="86"/>
    </row>
    <row r="13" spans="1:13" ht="12.75" customHeight="1" thickBot="1" x14ac:dyDescent="0.35">
      <c r="A13" s="117" t="s">
        <v>982</v>
      </c>
      <c r="B13" s="282"/>
      <c r="C13" s="121">
        <v>150</v>
      </c>
      <c r="D13" s="121">
        <f t="shared" si="0"/>
        <v>0</v>
      </c>
      <c r="E13" s="91"/>
      <c r="G13" s="147">
        <v>120</v>
      </c>
      <c r="H13" s="145">
        <f t="shared" si="1"/>
        <v>0</v>
      </c>
      <c r="I13" s="142" t="s">
        <v>958</v>
      </c>
      <c r="J13" s="86"/>
    </row>
    <row r="14" spans="1:13" ht="12.75" customHeight="1" thickBot="1" x14ac:dyDescent="0.35">
      <c r="A14" s="117" t="s">
        <v>877</v>
      </c>
      <c r="B14" s="282">
        <v>3</v>
      </c>
      <c r="C14" s="121">
        <v>23</v>
      </c>
      <c r="D14" s="121">
        <f t="shared" si="0"/>
        <v>69</v>
      </c>
      <c r="E14" s="91"/>
      <c r="F14" s="89"/>
      <c r="G14" s="147">
        <v>20.25</v>
      </c>
      <c r="H14" s="145">
        <f t="shared" si="1"/>
        <v>60.75</v>
      </c>
      <c r="I14" s="142" t="s">
        <v>877</v>
      </c>
      <c r="J14" s="86"/>
    </row>
    <row r="15" spans="1:13" ht="12.75" customHeight="1" thickBot="1" x14ac:dyDescent="0.35">
      <c r="A15" s="117" t="s">
        <v>960</v>
      </c>
      <c r="B15" s="281"/>
      <c r="C15" s="121">
        <v>23</v>
      </c>
      <c r="D15" s="121">
        <f t="shared" si="0"/>
        <v>0</v>
      </c>
      <c r="E15" s="91"/>
      <c r="F15" s="87"/>
      <c r="G15" s="147">
        <v>21.25</v>
      </c>
      <c r="H15" s="145">
        <f t="shared" si="1"/>
        <v>0</v>
      </c>
      <c r="I15" s="142" t="s">
        <v>955</v>
      </c>
    </row>
    <row r="16" spans="1:13" ht="12.75" customHeight="1" thickBot="1" x14ac:dyDescent="0.35">
      <c r="A16" s="117" t="s">
        <v>981</v>
      </c>
      <c r="B16" s="280"/>
      <c r="C16" s="121">
        <v>80</v>
      </c>
      <c r="D16" s="121">
        <f t="shared" si="0"/>
        <v>0</v>
      </c>
      <c r="E16" s="91"/>
      <c r="F16" s="90"/>
      <c r="G16" s="146">
        <v>50</v>
      </c>
      <c r="H16" s="145">
        <f t="shared" si="1"/>
        <v>0</v>
      </c>
      <c r="I16" s="142" t="s">
        <v>957</v>
      </c>
    </row>
    <row r="17" spans="1:13" ht="13.8" customHeight="1" thickBot="1" x14ac:dyDescent="0.35">
      <c r="A17" s="117" t="s">
        <v>952</v>
      </c>
      <c r="B17" s="428"/>
      <c r="C17" s="124">
        <v>500</v>
      </c>
      <c r="D17" s="124">
        <f t="shared" si="0"/>
        <v>0</v>
      </c>
      <c r="E17" s="91"/>
      <c r="G17" s="153">
        <v>500</v>
      </c>
      <c r="H17" s="145">
        <f t="shared" si="1"/>
        <v>0</v>
      </c>
      <c r="I17" s="142" t="s">
        <v>959</v>
      </c>
    </row>
    <row r="18" spans="1:13" ht="12.75" customHeight="1" thickTop="1" thickBot="1" x14ac:dyDescent="0.35">
      <c r="A18" s="125"/>
      <c r="B18" s="393"/>
      <c r="C18" s="394"/>
      <c r="D18" s="136">
        <f>SUM(D4:D17)</f>
        <v>436.04999999999995</v>
      </c>
      <c r="E18" s="95"/>
      <c r="F18" s="87"/>
      <c r="G18" s="154">
        <v>90</v>
      </c>
      <c r="H18" s="154">
        <f>B20*G18</f>
        <v>0</v>
      </c>
      <c r="I18" s="142" t="s">
        <v>882</v>
      </c>
    </row>
    <row r="19" spans="1:13" ht="12.75" customHeight="1" thickBot="1" x14ac:dyDescent="0.35">
      <c r="A19" s="116" t="s">
        <v>881</v>
      </c>
      <c r="B19" s="251"/>
      <c r="C19" s="119"/>
      <c r="D19" s="119"/>
      <c r="E19" s="94"/>
      <c r="G19" s="148">
        <v>8.9</v>
      </c>
      <c r="H19" s="146">
        <f>(B21*7)*G19</f>
        <v>249.20000000000002</v>
      </c>
      <c r="I19" s="142" t="s">
        <v>943</v>
      </c>
      <c r="L19" s="74"/>
      <c r="M19" s="88"/>
    </row>
    <row r="20" spans="1:13" ht="12.75" customHeight="1" thickBot="1" x14ac:dyDescent="0.35">
      <c r="A20" s="117" t="s">
        <v>978</v>
      </c>
      <c r="B20" s="281"/>
      <c r="C20" s="121">
        <v>90</v>
      </c>
      <c r="D20" s="126">
        <f>(B20*C20)</f>
        <v>0</v>
      </c>
      <c r="E20" s="96"/>
      <c r="G20" s="147">
        <v>21</v>
      </c>
      <c r="H20" s="146">
        <f t="shared" ref="H20" si="4">G20*B22</f>
        <v>0</v>
      </c>
      <c r="I20" s="152" t="s">
        <v>950</v>
      </c>
    </row>
    <row r="21" spans="1:13" ht="15" thickBot="1" x14ac:dyDescent="0.35">
      <c r="A21" s="118" t="s">
        <v>883</v>
      </c>
      <c r="B21" s="282">
        <v>4</v>
      </c>
      <c r="C21" s="121">
        <v>120</v>
      </c>
      <c r="D21" s="126">
        <f>(B21*C21)</f>
        <v>480</v>
      </c>
      <c r="E21" s="96"/>
      <c r="G21" s="147">
        <v>21</v>
      </c>
      <c r="H21" s="146">
        <f>B23*G21</f>
        <v>0</v>
      </c>
      <c r="I21" s="152" t="s">
        <v>951</v>
      </c>
    </row>
    <row r="22" spans="1:13" ht="13.5" customHeight="1" thickBot="1" x14ac:dyDescent="0.35">
      <c r="A22" s="117" t="s">
        <v>985</v>
      </c>
      <c r="B22" s="282"/>
      <c r="C22" s="121">
        <v>25</v>
      </c>
      <c r="D22" s="126">
        <f t="shared" ref="D22:D23" si="5">(B22*C22)</f>
        <v>0</v>
      </c>
      <c r="E22" s="91"/>
      <c r="G22" s="146">
        <v>35</v>
      </c>
      <c r="H22" s="235"/>
      <c r="I22" s="142" t="s">
        <v>945</v>
      </c>
    </row>
    <row r="23" spans="1:13" ht="12.75" customHeight="1" thickBot="1" x14ac:dyDescent="0.35">
      <c r="A23" s="117" t="s">
        <v>877</v>
      </c>
      <c r="B23" s="251"/>
      <c r="C23" s="121">
        <v>25</v>
      </c>
      <c r="D23" s="126">
        <f t="shared" si="5"/>
        <v>0</v>
      </c>
      <c r="E23" s="91"/>
      <c r="G23" s="150">
        <v>100</v>
      </c>
      <c r="H23" s="151"/>
      <c r="I23" s="142" t="s">
        <v>924</v>
      </c>
    </row>
    <row r="24" spans="1:13" ht="12.75" customHeight="1" thickBot="1" x14ac:dyDescent="0.35">
      <c r="A24" s="125"/>
      <c r="B24" s="370" t="s">
        <v>799</v>
      </c>
      <c r="C24" s="371"/>
      <c r="D24" s="136">
        <f>SUM(D20:D23)</f>
        <v>480</v>
      </c>
      <c r="E24" s="97"/>
      <c r="G24" s="74"/>
      <c r="H24" s="213">
        <f>SUM(H4:H23)</f>
        <v>652</v>
      </c>
    </row>
    <row r="25" spans="1:13" ht="12.75" customHeight="1" thickBot="1" x14ac:dyDescent="0.35">
      <c r="A25" s="116" t="s">
        <v>976</v>
      </c>
      <c r="B25" s="251"/>
      <c r="C25" s="119"/>
      <c r="D25" s="119"/>
      <c r="E25" s="94"/>
    </row>
    <row r="26" spans="1:13" ht="12.75" customHeight="1" thickBot="1" x14ac:dyDescent="0.35">
      <c r="A26" s="117" t="s">
        <v>887</v>
      </c>
      <c r="B26" s="280">
        <v>1</v>
      </c>
      <c r="C26" s="121">
        <v>5.93</v>
      </c>
      <c r="D26" s="121">
        <f t="shared" ref="D26:D37" si="6">+B26*C26</f>
        <v>5.93</v>
      </c>
      <c r="E26" s="91"/>
      <c r="G26" s="178" t="s">
        <v>925</v>
      </c>
      <c r="H26" s="179"/>
      <c r="I26" s="102"/>
      <c r="J26" s="102"/>
    </row>
    <row r="27" spans="1:13" ht="12.75" customHeight="1" thickBot="1" x14ac:dyDescent="0.35">
      <c r="A27" s="117" t="s">
        <v>888</v>
      </c>
      <c r="B27" s="281">
        <v>1</v>
      </c>
      <c r="C27" s="121">
        <v>26.08</v>
      </c>
      <c r="D27" s="121">
        <f t="shared" si="6"/>
        <v>26.08</v>
      </c>
      <c r="E27" s="91"/>
      <c r="G27" s="227" t="s">
        <v>942</v>
      </c>
      <c r="H27" s="156"/>
      <c r="I27" s="102"/>
      <c r="J27" s="102"/>
    </row>
    <row r="28" spans="1:13" ht="14.25" customHeight="1" thickBot="1" x14ac:dyDescent="0.35">
      <c r="A28" s="117" t="s">
        <v>889</v>
      </c>
      <c r="B28" s="281">
        <v>1</v>
      </c>
      <c r="C28" s="121">
        <v>27.76</v>
      </c>
      <c r="D28" s="121">
        <f t="shared" si="6"/>
        <v>27.76</v>
      </c>
      <c r="E28" s="91"/>
      <c r="F28" s="87"/>
      <c r="G28" s="163">
        <v>4.75</v>
      </c>
      <c r="H28" s="208">
        <f t="shared" ref="H28:H39" si="7">G28*B26</f>
        <v>4.75</v>
      </c>
      <c r="I28" s="164" t="s">
        <v>887</v>
      </c>
      <c r="J28" s="102"/>
    </row>
    <row r="29" spans="1:13" ht="15" customHeight="1" thickBot="1" x14ac:dyDescent="0.35">
      <c r="A29" s="128" t="s">
        <v>963</v>
      </c>
      <c r="B29" s="281"/>
      <c r="C29" s="121">
        <v>31.5</v>
      </c>
      <c r="D29" s="121">
        <f t="shared" si="6"/>
        <v>0</v>
      </c>
      <c r="E29" s="91"/>
      <c r="F29" s="90"/>
      <c r="G29" s="163">
        <v>23.34</v>
      </c>
      <c r="H29" s="208">
        <f t="shared" si="7"/>
        <v>23.34</v>
      </c>
      <c r="I29" s="164" t="s">
        <v>888</v>
      </c>
      <c r="J29" s="102"/>
    </row>
    <row r="30" spans="1:13" ht="12.75" customHeight="1" thickBot="1" x14ac:dyDescent="0.35">
      <c r="A30" s="117" t="s">
        <v>946</v>
      </c>
      <c r="B30" s="281"/>
      <c r="C30" s="121">
        <v>45</v>
      </c>
      <c r="D30" s="121">
        <f t="shared" si="6"/>
        <v>0</v>
      </c>
      <c r="E30" s="91"/>
      <c r="F30" s="90"/>
      <c r="G30" s="236">
        <v>25.9</v>
      </c>
      <c r="H30" s="208">
        <f t="shared" si="7"/>
        <v>25.9</v>
      </c>
      <c r="I30" s="166" t="s">
        <v>889</v>
      </c>
      <c r="J30" s="102"/>
    </row>
    <row r="31" spans="1:13" ht="12.75" customHeight="1" thickBot="1" x14ac:dyDescent="0.35">
      <c r="A31" s="117" t="s">
        <v>891</v>
      </c>
      <c r="B31" s="281"/>
      <c r="C31" s="121">
        <v>59.8</v>
      </c>
      <c r="D31" s="121">
        <f t="shared" si="6"/>
        <v>0</v>
      </c>
      <c r="E31" s="91"/>
      <c r="F31" s="90"/>
      <c r="G31" s="163">
        <v>30</v>
      </c>
      <c r="H31" s="208">
        <f t="shared" si="7"/>
        <v>0</v>
      </c>
      <c r="I31" s="164" t="s">
        <v>953</v>
      </c>
      <c r="J31" s="158"/>
    </row>
    <row r="32" spans="1:13" ht="15.6" customHeight="1" thickBot="1" x14ac:dyDescent="0.35">
      <c r="A32" s="117" t="s">
        <v>972</v>
      </c>
      <c r="B32" s="281"/>
      <c r="C32" s="121">
        <v>120.45</v>
      </c>
      <c r="D32" s="121">
        <f t="shared" si="6"/>
        <v>0</v>
      </c>
      <c r="E32" s="91"/>
      <c r="F32" s="86"/>
      <c r="G32" s="163">
        <v>40</v>
      </c>
      <c r="H32" s="208">
        <f t="shared" si="7"/>
        <v>0</v>
      </c>
      <c r="I32" s="164" t="s">
        <v>891</v>
      </c>
      <c r="J32" s="158"/>
    </row>
    <row r="33" spans="1:10" ht="12.75" customHeight="1" thickBot="1" x14ac:dyDescent="0.35">
      <c r="A33" s="117" t="s">
        <v>894</v>
      </c>
      <c r="B33" s="281"/>
      <c r="C33" s="121">
        <v>10.1</v>
      </c>
      <c r="D33" s="121">
        <f t="shared" si="6"/>
        <v>0</v>
      </c>
      <c r="E33" s="91"/>
      <c r="G33" s="163">
        <v>43.75</v>
      </c>
      <c r="H33" s="208">
        <f t="shared" si="7"/>
        <v>0</v>
      </c>
      <c r="I33" s="167" t="s">
        <v>961</v>
      </c>
      <c r="J33" s="159"/>
    </row>
    <row r="34" spans="1:10" ht="15.75" customHeight="1" thickBot="1" x14ac:dyDescent="0.35">
      <c r="A34" s="117" t="s">
        <v>895</v>
      </c>
      <c r="B34" s="280"/>
      <c r="C34" s="121">
        <v>8.1</v>
      </c>
      <c r="D34" s="121">
        <f t="shared" si="6"/>
        <v>0</v>
      </c>
      <c r="E34" s="91"/>
      <c r="F34" s="87"/>
      <c r="G34" s="163">
        <v>110</v>
      </c>
      <c r="H34" s="208">
        <f t="shared" si="7"/>
        <v>0</v>
      </c>
      <c r="I34" s="168" t="s">
        <v>946</v>
      </c>
      <c r="J34" s="159"/>
    </row>
    <row r="35" spans="1:10" ht="15.75" customHeight="1" thickBot="1" x14ac:dyDescent="0.35">
      <c r="A35" s="117" t="s">
        <v>975</v>
      </c>
      <c r="B35" s="280">
        <v>1</v>
      </c>
      <c r="C35" s="121">
        <v>35</v>
      </c>
      <c r="D35" s="121">
        <f t="shared" si="6"/>
        <v>35</v>
      </c>
      <c r="E35" s="91"/>
      <c r="F35" s="87"/>
      <c r="G35" s="163">
        <v>9.0500000000000007</v>
      </c>
      <c r="H35" s="208">
        <f t="shared" si="7"/>
        <v>0</v>
      </c>
      <c r="I35" s="168" t="s">
        <v>894</v>
      </c>
      <c r="J35" s="159"/>
    </row>
    <row r="36" spans="1:10" ht="15.75" customHeight="1" thickBot="1" x14ac:dyDescent="0.35">
      <c r="A36" s="117" t="s">
        <v>898</v>
      </c>
      <c r="B36" s="280"/>
      <c r="C36" s="121">
        <v>118</v>
      </c>
      <c r="D36" s="121">
        <f t="shared" si="6"/>
        <v>0</v>
      </c>
      <c r="E36" s="91"/>
      <c r="F36" s="87"/>
      <c r="G36" s="163">
        <v>7.15</v>
      </c>
      <c r="H36" s="208">
        <f t="shared" si="7"/>
        <v>0</v>
      </c>
      <c r="I36" s="168" t="s">
        <v>895</v>
      </c>
      <c r="J36" s="159"/>
    </row>
    <row r="37" spans="1:10" ht="14.25" customHeight="1" thickBot="1" x14ac:dyDescent="0.35">
      <c r="A37" s="117" t="s">
        <v>896</v>
      </c>
      <c r="B37" s="231"/>
      <c r="C37" s="121">
        <v>60.47</v>
      </c>
      <c r="D37" s="121">
        <f t="shared" si="6"/>
        <v>0</v>
      </c>
      <c r="E37" s="259"/>
      <c r="G37" s="163">
        <v>35</v>
      </c>
      <c r="H37" s="208">
        <f t="shared" si="7"/>
        <v>35</v>
      </c>
      <c r="I37" s="167" t="s">
        <v>962</v>
      </c>
      <c r="J37" s="159"/>
    </row>
    <row r="38" spans="1:10" ht="14.25" customHeight="1" thickBot="1" x14ac:dyDescent="0.35">
      <c r="A38" s="125"/>
      <c r="B38" s="370" t="s">
        <v>800</v>
      </c>
      <c r="C38" s="372"/>
      <c r="D38" s="127">
        <f>SUM(D26:D37)</f>
        <v>94.77</v>
      </c>
      <c r="E38" s="263"/>
      <c r="G38" s="163">
        <v>118.12</v>
      </c>
      <c r="H38" s="208">
        <f t="shared" si="7"/>
        <v>0</v>
      </c>
      <c r="I38" s="169" t="s">
        <v>898</v>
      </c>
      <c r="J38" s="160"/>
    </row>
    <row r="39" spans="1:10" ht="12.75" customHeight="1" thickBot="1" x14ac:dyDescent="0.35">
      <c r="A39" s="116" t="s">
        <v>802</v>
      </c>
      <c r="B39" s="119"/>
      <c r="C39" s="119"/>
      <c r="D39" s="119"/>
      <c r="E39" s="94"/>
      <c r="G39" s="173">
        <v>54.97</v>
      </c>
      <c r="H39" s="208">
        <f t="shared" si="7"/>
        <v>0</v>
      </c>
      <c r="I39" s="174" t="s">
        <v>896</v>
      </c>
      <c r="J39" s="160"/>
    </row>
    <row r="40" spans="1:10" ht="16.2" customHeight="1" thickTop="1" thickBot="1" x14ac:dyDescent="0.35">
      <c r="A40" s="133" t="s">
        <v>989</v>
      </c>
      <c r="B40" s="252"/>
      <c r="C40" s="130">
        <v>650</v>
      </c>
      <c r="D40" s="130">
        <f>B40*C40</f>
        <v>0</v>
      </c>
      <c r="E40" s="260"/>
      <c r="G40" s="175">
        <v>28.61</v>
      </c>
      <c r="H40" s="209">
        <f>G40*B79</f>
        <v>0</v>
      </c>
      <c r="I40" s="176" t="s">
        <v>912</v>
      </c>
      <c r="J40" s="161"/>
    </row>
    <row r="41" spans="1:10" ht="17.399999999999999" customHeight="1" thickBot="1" x14ac:dyDescent="0.35">
      <c r="A41" s="133" t="s">
        <v>980</v>
      </c>
      <c r="B41" s="270"/>
      <c r="C41" s="130">
        <v>250</v>
      </c>
      <c r="D41" s="130">
        <f>B41*C41</f>
        <v>0</v>
      </c>
      <c r="E41" s="266"/>
      <c r="G41" s="228">
        <v>27.35</v>
      </c>
      <c r="H41" s="210">
        <f t="shared" ref="H41:H48" si="8">G41*B80</f>
        <v>0</v>
      </c>
      <c r="I41" s="166" t="s">
        <v>913</v>
      </c>
      <c r="J41" s="102"/>
    </row>
    <row r="42" spans="1:10" ht="15" thickBot="1" x14ac:dyDescent="0.35">
      <c r="A42" s="373"/>
      <c r="B42" s="374" t="s">
        <v>967</v>
      </c>
      <c r="C42" s="374"/>
      <c r="D42" s="127">
        <f>SUM(D40:D41)</f>
        <v>0</v>
      </c>
      <c r="E42" s="268"/>
      <c r="G42" s="171">
        <v>34.26</v>
      </c>
      <c r="H42" s="210">
        <f t="shared" si="8"/>
        <v>0</v>
      </c>
      <c r="I42" s="172" t="s">
        <v>914</v>
      </c>
      <c r="J42" s="160"/>
    </row>
    <row r="43" spans="1:10" x14ac:dyDescent="0.3">
      <c r="A43" s="391"/>
      <c r="B43" s="392" t="s">
        <v>803</v>
      </c>
      <c r="C43" s="392"/>
      <c r="D43" s="261">
        <f>D42+D38+D24+D18</f>
        <v>1010.8199999999999</v>
      </c>
      <c r="E43" s="269"/>
      <c r="G43" s="171">
        <v>40.99</v>
      </c>
      <c r="H43" s="210">
        <f t="shared" si="8"/>
        <v>0</v>
      </c>
      <c r="I43" s="172" t="s">
        <v>915</v>
      </c>
      <c r="J43" s="160"/>
    </row>
    <row r="44" spans="1:10" ht="15" thickBot="1" x14ac:dyDescent="0.35">
      <c r="A44" s="81"/>
      <c r="B44" s="83"/>
      <c r="C44" s="82"/>
      <c r="D44" s="84"/>
      <c r="E44" s="84"/>
      <c r="G44" s="171">
        <v>53.31</v>
      </c>
      <c r="H44" s="210">
        <f t="shared" si="8"/>
        <v>0</v>
      </c>
      <c r="I44" s="172" t="s">
        <v>916</v>
      </c>
      <c r="J44" s="160"/>
    </row>
    <row r="45" spans="1:10" ht="15" thickTop="1" x14ac:dyDescent="0.3">
      <c r="A45" s="395" t="s">
        <v>906</v>
      </c>
      <c r="B45" s="396"/>
      <c r="C45" s="396"/>
      <c r="D45" s="396"/>
      <c r="E45" s="283"/>
      <c r="F45" s="87"/>
      <c r="G45" s="171">
        <v>98.45</v>
      </c>
      <c r="H45" s="210">
        <f t="shared" si="8"/>
        <v>0</v>
      </c>
      <c r="I45" s="172" t="s">
        <v>917</v>
      </c>
      <c r="J45" s="160"/>
    </row>
    <row r="46" spans="1:10" ht="15" customHeight="1" x14ac:dyDescent="0.3">
      <c r="A46" s="284" t="s">
        <v>871</v>
      </c>
      <c r="B46" s="267" t="s">
        <v>872</v>
      </c>
      <c r="C46" s="267" t="s">
        <v>873</v>
      </c>
      <c r="D46" s="267" t="s">
        <v>808</v>
      </c>
      <c r="E46" s="285"/>
      <c r="G46" s="171">
        <v>43.75</v>
      </c>
      <c r="H46" s="210">
        <f t="shared" si="8"/>
        <v>0</v>
      </c>
      <c r="I46" s="172" t="s">
        <v>918</v>
      </c>
      <c r="J46" s="160"/>
    </row>
    <row r="47" spans="1:10" ht="15" customHeight="1" x14ac:dyDescent="0.3">
      <c r="A47" s="286" t="s">
        <v>901</v>
      </c>
      <c r="B47" s="237"/>
      <c r="C47" s="237"/>
      <c r="D47" s="237"/>
      <c r="E47" s="287"/>
      <c r="G47" s="171">
        <v>46.46</v>
      </c>
      <c r="H47" s="210">
        <f t="shared" si="8"/>
        <v>0</v>
      </c>
      <c r="I47" s="172" t="s">
        <v>919</v>
      </c>
      <c r="J47" s="160"/>
    </row>
    <row r="48" spans="1:10" ht="12" customHeight="1" x14ac:dyDescent="0.3">
      <c r="A48" s="288" t="s">
        <v>882</v>
      </c>
      <c r="B48" s="238"/>
      <c r="C48" s="239">
        <v>100</v>
      </c>
      <c r="D48" s="240">
        <f>(B48*C48)</f>
        <v>0</v>
      </c>
      <c r="E48" s="289"/>
      <c r="G48" s="171">
        <v>120</v>
      </c>
      <c r="H48" s="211">
        <f t="shared" si="8"/>
        <v>0</v>
      </c>
      <c r="I48" s="172" t="s">
        <v>920</v>
      </c>
      <c r="J48" s="162"/>
    </row>
    <row r="49" spans="1:16" x14ac:dyDescent="0.3">
      <c r="A49" s="290" t="s">
        <v>883</v>
      </c>
      <c r="B49" s="238">
        <v>4</v>
      </c>
      <c r="C49" s="239">
        <v>90</v>
      </c>
      <c r="D49" s="240">
        <f t="shared" ref="D49:D50" si="9">(B49*C49)</f>
        <v>360</v>
      </c>
      <c r="E49" s="291"/>
      <c r="G49" s="105"/>
      <c r="H49" s="212">
        <f>SUM(H28:H48)</f>
        <v>88.99</v>
      </c>
      <c r="I49" s="106" t="s">
        <v>930</v>
      </c>
      <c r="L49" s="368"/>
      <c r="M49" s="369"/>
      <c r="N49" s="369"/>
      <c r="O49" s="369"/>
      <c r="P49" s="387"/>
    </row>
    <row r="50" spans="1:16" ht="15" thickBot="1" x14ac:dyDescent="0.35">
      <c r="A50" s="288" t="s">
        <v>970</v>
      </c>
      <c r="B50" s="238"/>
      <c r="C50" s="239">
        <v>28</v>
      </c>
      <c r="D50" s="240">
        <f t="shared" si="9"/>
        <v>0</v>
      </c>
      <c r="E50" s="291"/>
      <c r="I50" s="106"/>
      <c r="L50" s="368"/>
      <c r="M50" s="369"/>
      <c r="N50" s="369"/>
      <c r="O50" s="196"/>
      <c r="P50" s="197"/>
    </row>
    <row r="51" spans="1:16" ht="15" thickBot="1" x14ac:dyDescent="0.35">
      <c r="A51" s="288" t="s">
        <v>877</v>
      </c>
      <c r="B51" s="241"/>
      <c r="C51" s="239">
        <v>28</v>
      </c>
      <c r="D51" s="239">
        <f t="shared" ref="D51" si="10">+B51*C51</f>
        <v>0</v>
      </c>
      <c r="E51" s="291"/>
      <c r="G51" s="178" t="s">
        <v>931</v>
      </c>
      <c r="H51" s="179"/>
      <c r="I51" s="102"/>
      <c r="J51" s="180"/>
      <c r="K51" s="180"/>
      <c r="L51" s="180"/>
      <c r="M51" s="181"/>
      <c r="N51" s="182"/>
      <c r="O51" s="180"/>
      <c r="P51" s="180"/>
    </row>
    <row r="52" spans="1:16" x14ac:dyDescent="0.3">
      <c r="A52" s="292"/>
      <c r="B52" s="376"/>
      <c r="C52" s="377"/>
      <c r="D52" s="242">
        <f>D48+D49+D50+D51</f>
        <v>360</v>
      </c>
      <c r="E52" s="293"/>
      <c r="F52" s="108"/>
      <c r="G52" s="155"/>
      <c r="H52" s="156"/>
      <c r="I52" s="102"/>
      <c r="J52" s="183"/>
      <c r="K52" s="184"/>
      <c r="L52" s="111"/>
      <c r="M52" s="110"/>
      <c r="N52" s="110"/>
      <c r="O52" s="110"/>
      <c r="P52" s="110"/>
    </row>
    <row r="53" spans="1:16" x14ac:dyDescent="0.3">
      <c r="A53" s="286" t="s">
        <v>902</v>
      </c>
      <c r="B53" s="237"/>
      <c r="C53" s="237"/>
      <c r="D53" s="237"/>
      <c r="E53" s="291"/>
      <c r="G53" s="163">
        <v>55</v>
      </c>
      <c r="H53" s="208">
        <f>G53*F53</f>
        <v>0</v>
      </c>
      <c r="I53" s="164" t="s">
        <v>932</v>
      </c>
      <c r="J53" s="185"/>
      <c r="K53" s="184"/>
      <c r="L53" s="110"/>
      <c r="M53" s="110"/>
      <c r="N53" s="110"/>
      <c r="O53" s="110"/>
      <c r="P53" s="110"/>
    </row>
    <row r="54" spans="1:16" x14ac:dyDescent="0.3">
      <c r="A54" s="288" t="s">
        <v>903</v>
      </c>
      <c r="B54" s="238">
        <v>1</v>
      </c>
      <c r="C54" s="239">
        <v>400</v>
      </c>
      <c r="D54" s="240">
        <f>(B54*C54)</f>
        <v>400</v>
      </c>
      <c r="E54" s="293"/>
      <c r="F54" s="108"/>
      <c r="G54" s="163">
        <v>120</v>
      </c>
      <c r="H54" s="208">
        <f>G54*F54</f>
        <v>0</v>
      </c>
      <c r="I54" s="164" t="s">
        <v>933</v>
      </c>
      <c r="J54" s="184"/>
      <c r="K54" s="232"/>
      <c r="L54" s="110"/>
      <c r="M54" s="110"/>
      <c r="N54" s="110"/>
      <c r="O54" s="110"/>
      <c r="P54" s="110"/>
    </row>
    <row r="55" spans="1:16" x14ac:dyDescent="0.3">
      <c r="A55" s="288" t="s">
        <v>971</v>
      </c>
      <c r="B55" s="243"/>
      <c r="C55" s="244">
        <v>45</v>
      </c>
      <c r="D55" s="240">
        <f>(B55*C55)</f>
        <v>0</v>
      </c>
      <c r="E55" s="293"/>
      <c r="F55" s="108"/>
      <c r="G55" s="109"/>
      <c r="H55" s="212">
        <f>H53+H54</f>
        <v>0</v>
      </c>
      <c r="I55" s="106" t="s">
        <v>930</v>
      </c>
      <c r="K55" s="90"/>
    </row>
    <row r="56" spans="1:16" x14ac:dyDescent="0.3">
      <c r="A56" s="292"/>
      <c r="B56" s="378" t="s">
        <v>799</v>
      </c>
      <c r="C56" s="379"/>
      <c r="D56" s="245">
        <f>D54+D55</f>
        <v>400</v>
      </c>
      <c r="E56" s="291"/>
      <c r="H56" t="s">
        <v>968</v>
      </c>
      <c r="J56" s="186"/>
      <c r="K56" s="186"/>
      <c r="L56" s="186"/>
      <c r="M56" s="186"/>
      <c r="N56" s="186"/>
      <c r="O56" s="100"/>
      <c r="P56" s="100"/>
    </row>
    <row r="57" spans="1:16" x14ac:dyDescent="0.3">
      <c r="A57" s="286" t="s">
        <v>886</v>
      </c>
      <c r="B57" s="237"/>
      <c r="C57" s="237"/>
      <c r="D57" s="237"/>
      <c r="E57" s="291"/>
      <c r="J57" s="187"/>
      <c r="K57" s="188"/>
      <c r="L57" s="188"/>
      <c r="M57" s="188"/>
      <c r="N57" s="188"/>
      <c r="O57" s="100"/>
      <c r="P57" s="100"/>
    </row>
    <row r="58" spans="1:16" x14ac:dyDescent="0.3">
      <c r="A58" s="288" t="s">
        <v>986</v>
      </c>
      <c r="B58" s="241">
        <v>1</v>
      </c>
      <c r="C58" s="239">
        <v>60</v>
      </c>
      <c r="D58" s="239">
        <f t="shared" ref="D58:D59" si="11">+B58*C58</f>
        <v>60</v>
      </c>
      <c r="E58" s="291"/>
      <c r="G58" s="78"/>
    </row>
    <row r="59" spans="1:16" x14ac:dyDescent="0.3">
      <c r="A59" s="288" t="s">
        <v>948</v>
      </c>
      <c r="B59" s="238"/>
      <c r="C59" s="239">
        <v>120</v>
      </c>
      <c r="D59" s="239">
        <f t="shared" si="11"/>
        <v>0</v>
      </c>
      <c r="E59" s="291"/>
      <c r="G59" s="106"/>
      <c r="J59" s="198" t="s">
        <v>859</v>
      </c>
      <c r="K59" s="199"/>
      <c r="L59" s="199"/>
      <c r="M59" s="196"/>
      <c r="N59" s="180"/>
      <c r="O59" s="189" t="s">
        <v>808</v>
      </c>
    </row>
    <row r="60" spans="1:16" x14ac:dyDescent="0.3">
      <c r="A60" s="292"/>
      <c r="B60" s="378" t="s">
        <v>800</v>
      </c>
      <c r="C60" s="380"/>
      <c r="D60" s="246">
        <f>SUM(D58:D59)</f>
        <v>60</v>
      </c>
      <c r="E60" s="291"/>
      <c r="G60" s="102"/>
      <c r="H60" s="200" t="s">
        <v>821</v>
      </c>
      <c r="I60" s="200" t="s">
        <v>809</v>
      </c>
      <c r="J60" s="200" t="s">
        <v>927</v>
      </c>
      <c r="K60" s="201" t="s">
        <v>928</v>
      </c>
      <c r="L60" s="202" t="s">
        <v>929</v>
      </c>
      <c r="M60" s="180"/>
      <c r="N60" s="190"/>
      <c r="O60" s="191"/>
    </row>
    <row r="61" spans="1:16" x14ac:dyDescent="0.3">
      <c r="A61" s="286" t="s">
        <v>802</v>
      </c>
      <c r="B61" s="237"/>
      <c r="C61" s="237"/>
      <c r="D61" s="237"/>
      <c r="E61" s="291"/>
      <c r="G61" s="177" t="s">
        <v>926</v>
      </c>
      <c r="H61" s="193">
        <f>I61/8</f>
        <v>0</v>
      </c>
      <c r="I61" s="194">
        <f>J61+K61+L61</f>
        <v>0</v>
      </c>
      <c r="J61" s="111"/>
      <c r="K61" s="265"/>
      <c r="M61" s="264"/>
    </row>
    <row r="62" spans="1:16" x14ac:dyDescent="0.3">
      <c r="A62" s="294" t="s">
        <v>965</v>
      </c>
      <c r="B62" s="247">
        <v>1</v>
      </c>
      <c r="C62" s="248">
        <v>309</v>
      </c>
      <c r="D62" s="248">
        <f>B62*C62</f>
        <v>309</v>
      </c>
      <c r="E62" s="291"/>
      <c r="G62" s="192" t="s">
        <v>827</v>
      </c>
      <c r="H62" s="195">
        <f>I62/8</f>
        <v>0.625</v>
      </c>
      <c r="I62" s="194">
        <f>J62+K62+L62</f>
        <v>5</v>
      </c>
      <c r="J62" s="110"/>
      <c r="K62" s="110">
        <v>4</v>
      </c>
      <c r="L62" s="110">
        <v>1</v>
      </c>
      <c r="M62" s="110"/>
      <c r="P62" s="87"/>
    </row>
    <row r="63" spans="1:16" x14ac:dyDescent="0.3">
      <c r="A63" s="294" t="s">
        <v>966</v>
      </c>
      <c r="B63" s="249">
        <v>1</v>
      </c>
      <c r="C63" s="248">
        <v>90</v>
      </c>
      <c r="D63" s="248">
        <f>B63*C63</f>
        <v>90</v>
      </c>
      <c r="E63" s="295"/>
      <c r="G63" s="192" t="s">
        <v>807</v>
      </c>
      <c r="H63" s="194">
        <v>0</v>
      </c>
      <c r="I63" s="194">
        <f>(H63*7)</f>
        <v>0</v>
      </c>
      <c r="J63" s="110"/>
      <c r="K63" s="110"/>
      <c r="L63" s="110"/>
      <c r="M63" s="110"/>
    </row>
    <row r="64" spans="1:16" x14ac:dyDescent="0.3">
      <c r="A64" s="385"/>
      <c r="B64" s="381" t="s">
        <v>801</v>
      </c>
      <c r="C64" s="381"/>
      <c r="D64" s="246">
        <f>D62+D63</f>
        <v>399</v>
      </c>
      <c r="E64" s="296"/>
      <c r="G64" s="107"/>
    </row>
    <row r="65" spans="1:16" ht="15" customHeight="1" thickBot="1" x14ac:dyDescent="0.35">
      <c r="A65" s="386"/>
      <c r="B65" s="382" t="s">
        <v>803</v>
      </c>
      <c r="C65" s="382"/>
      <c r="D65" s="297">
        <f>D64+D60+D52+D56</f>
        <v>1219</v>
      </c>
      <c r="E65" s="298">
        <v>1280</v>
      </c>
      <c r="G65" s="229" t="s">
        <v>944</v>
      </c>
      <c r="H65" s="203" t="s">
        <v>813</v>
      </c>
      <c r="I65" s="203" t="s">
        <v>934</v>
      </c>
      <c r="J65" s="203" t="s">
        <v>935</v>
      </c>
      <c r="K65" s="203" t="s">
        <v>936</v>
      </c>
      <c r="L65" s="203" t="s">
        <v>806</v>
      </c>
      <c r="M65" s="100"/>
    </row>
    <row r="66" spans="1:16" ht="15" customHeight="1" thickTop="1" x14ac:dyDescent="0.3">
      <c r="A66" s="384"/>
      <c r="B66" s="384"/>
      <c r="C66" s="384"/>
      <c r="D66" s="384"/>
      <c r="G66" s="230"/>
      <c r="H66" s="204">
        <f>((G66*8)*0.09*1.8)*H61</f>
        <v>0</v>
      </c>
      <c r="I66" s="207">
        <f>H61*12</f>
        <v>0</v>
      </c>
      <c r="J66" s="207">
        <f>(3.5*0)</f>
        <v>0</v>
      </c>
      <c r="K66" s="207">
        <f>(15*0)</f>
        <v>0</v>
      </c>
      <c r="L66" s="207">
        <v>0</v>
      </c>
      <c r="M66" s="100"/>
      <c r="P66" s="87"/>
    </row>
    <row r="67" spans="1:16" x14ac:dyDescent="0.3">
      <c r="A67" s="384"/>
      <c r="B67" s="384"/>
      <c r="C67" s="384"/>
      <c r="D67" s="384"/>
    </row>
    <row r="68" spans="1:16" ht="15" thickBot="1" x14ac:dyDescent="0.35">
      <c r="A68" s="383" t="s">
        <v>983</v>
      </c>
      <c r="B68" s="383"/>
      <c r="C68" s="383"/>
      <c r="D68" s="383"/>
      <c r="G68" s="205" t="s">
        <v>828</v>
      </c>
      <c r="H68" s="200" t="s">
        <v>818</v>
      </c>
      <c r="I68" s="200" t="s">
        <v>816</v>
      </c>
      <c r="J68" s="200" t="s">
        <v>817</v>
      </c>
      <c r="K68" s="200" t="s">
        <v>822</v>
      </c>
      <c r="L68" s="200" t="s">
        <v>829</v>
      </c>
      <c r="M68" s="206" t="s">
        <v>808</v>
      </c>
    </row>
    <row r="69" spans="1:16" ht="15" thickBot="1" x14ac:dyDescent="0.35">
      <c r="A69" s="115" t="s">
        <v>871</v>
      </c>
      <c r="B69" s="115" t="s">
        <v>872</v>
      </c>
      <c r="C69" s="115" t="s">
        <v>873</v>
      </c>
      <c r="D69" s="115" t="s">
        <v>808</v>
      </c>
      <c r="G69" s="304" t="s">
        <v>938</v>
      </c>
      <c r="H69" s="274">
        <f>D43</f>
        <v>1010.8199999999999</v>
      </c>
      <c r="I69" s="274">
        <f>(I61+I62+I63)*61.4</f>
        <v>307</v>
      </c>
      <c r="J69" s="275">
        <f>(I66+J66+K66+L66)</f>
        <v>0</v>
      </c>
      <c r="K69" s="274">
        <f>(H66)</f>
        <v>0</v>
      </c>
      <c r="L69" s="305">
        <f>H49+H24</f>
        <v>740.99</v>
      </c>
      <c r="M69" s="306">
        <f>(I69+J69+K69+L69)</f>
        <v>1047.99</v>
      </c>
    </row>
    <row r="70" spans="1:16" ht="15" thickBot="1" x14ac:dyDescent="0.35">
      <c r="A70" s="116"/>
      <c r="B70" s="119"/>
      <c r="C70" s="119"/>
      <c r="D70" s="119"/>
      <c r="G70" s="299" t="s">
        <v>939</v>
      </c>
      <c r="H70" s="300">
        <f>E65</f>
        <v>1280</v>
      </c>
      <c r="I70" s="300">
        <f>(I61+I62+I63)*61.4</f>
        <v>307</v>
      </c>
      <c r="J70" s="301">
        <f>I66+J66+K66+L66</f>
        <v>0</v>
      </c>
      <c r="K70" s="302">
        <f>H66</f>
        <v>0</v>
      </c>
      <c r="L70" s="303">
        <f>H24+H49+H55</f>
        <v>740.99</v>
      </c>
      <c r="M70" s="271">
        <f>SUM(I70:L70)</f>
        <v>1047.99</v>
      </c>
    </row>
    <row r="71" spans="1:16" ht="19.2" customHeight="1" thickBot="1" x14ac:dyDescent="0.35">
      <c r="A71" s="117" t="s">
        <v>979</v>
      </c>
      <c r="B71" s="120"/>
      <c r="C71" s="121">
        <v>150</v>
      </c>
      <c r="D71" s="121">
        <f>(B71*C71)</f>
        <v>0</v>
      </c>
      <c r="G71" s="273" t="s">
        <v>940</v>
      </c>
      <c r="H71" s="272">
        <f>D93</f>
        <v>0</v>
      </c>
      <c r="I71" s="272">
        <f>(I61+I62+I63)*61.4</f>
        <v>307</v>
      </c>
      <c r="J71" s="272">
        <f>I66+J66+K66+L66</f>
        <v>0</v>
      </c>
      <c r="K71" s="272">
        <f>H66</f>
        <v>0</v>
      </c>
      <c r="L71" s="278">
        <f>H49+H55+H24</f>
        <v>740.99</v>
      </c>
      <c r="M71" s="279">
        <f>SUM(I71:L71)</f>
        <v>1047.99</v>
      </c>
    </row>
    <row r="72" spans="1:16" ht="15" thickBot="1" x14ac:dyDescent="0.35">
      <c r="A72" s="118" t="s">
        <v>974</v>
      </c>
      <c r="B72" s="120"/>
      <c r="C72" s="121">
        <v>90</v>
      </c>
      <c r="D72" s="121">
        <f t="shared" ref="D72:D73" si="12">+B72*C72</f>
        <v>0</v>
      </c>
      <c r="G72" s="273" t="s">
        <v>941</v>
      </c>
      <c r="H72" s="272">
        <f>D93+D43</f>
        <v>1010.8199999999999</v>
      </c>
      <c r="I72" s="274">
        <f>(I61+I62+I63)*61.4</f>
        <v>307</v>
      </c>
      <c r="J72" s="274">
        <f>I66+J66+K66+L66</f>
        <v>0</v>
      </c>
      <c r="K72" s="275">
        <f>H66</f>
        <v>0</v>
      </c>
      <c r="L72" s="276">
        <f>H55+H49+H24</f>
        <v>740.99</v>
      </c>
      <c r="M72" s="277">
        <f>SUM(I72:L72)</f>
        <v>1047.99</v>
      </c>
    </row>
    <row r="73" spans="1:16" ht="15" thickBot="1" x14ac:dyDescent="0.35">
      <c r="A73" s="117" t="s">
        <v>973</v>
      </c>
      <c r="B73" s="120"/>
      <c r="C73" s="121">
        <v>90</v>
      </c>
      <c r="D73" s="121">
        <f t="shared" si="12"/>
        <v>0</v>
      </c>
    </row>
    <row r="74" spans="1:16" ht="15" thickBot="1" x14ac:dyDescent="0.35">
      <c r="A74" s="125"/>
      <c r="B74" s="370" t="s">
        <v>798</v>
      </c>
      <c r="C74" s="371"/>
      <c r="D74" s="136">
        <f>SUM(D71:D73)</f>
        <v>0</v>
      </c>
    </row>
    <row r="75" spans="1:16" ht="15" thickBot="1" x14ac:dyDescent="0.35">
      <c r="A75" s="116" t="s">
        <v>886</v>
      </c>
      <c r="B75" s="119"/>
      <c r="C75" s="119"/>
      <c r="D75" s="119"/>
    </row>
    <row r="76" spans="1:16" ht="15" thickBot="1" x14ac:dyDescent="0.35">
      <c r="A76" s="234" t="s">
        <v>887</v>
      </c>
      <c r="B76" s="119"/>
      <c r="C76" s="233">
        <v>5.93</v>
      </c>
      <c r="D76" s="233">
        <f t="shared" ref="D76:D87" si="13">+B76*C76</f>
        <v>0</v>
      </c>
      <c r="G76" s="254" t="s">
        <v>864</v>
      </c>
      <c r="H76" s="253" t="s">
        <v>949</v>
      </c>
      <c r="I76" s="250"/>
    </row>
    <row r="77" spans="1:16" ht="15" thickBot="1" x14ac:dyDescent="0.35">
      <c r="A77" s="117" t="s">
        <v>888</v>
      </c>
      <c r="B77" s="122"/>
      <c r="C77" s="121">
        <v>26.08</v>
      </c>
      <c r="D77" s="121">
        <f t="shared" si="13"/>
        <v>0</v>
      </c>
      <c r="G77" s="257"/>
      <c r="H77" s="258"/>
    </row>
    <row r="78" spans="1:16" ht="15" thickBot="1" x14ac:dyDescent="0.35">
      <c r="A78" s="117" t="s">
        <v>889</v>
      </c>
      <c r="B78" s="122"/>
      <c r="C78" s="121">
        <v>27.76</v>
      </c>
      <c r="D78" s="121">
        <f t="shared" si="13"/>
        <v>0</v>
      </c>
      <c r="G78" s="257"/>
      <c r="H78" s="258"/>
    </row>
    <row r="79" spans="1:16" ht="15" thickBot="1" x14ac:dyDescent="0.35">
      <c r="A79" s="128" t="s">
        <v>963</v>
      </c>
      <c r="B79" s="122"/>
      <c r="C79" s="121">
        <v>38</v>
      </c>
      <c r="D79" s="121">
        <f t="shared" si="13"/>
        <v>0</v>
      </c>
      <c r="G79" s="257"/>
      <c r="H79" s="258"/>
    </row>
    <row r="80" spans="1:16" ht="15" thickBot="1" x14ac:dyDescent="0.35">
      <c r="A80" s="117" t="s">
        <v>913</v>
      </c>
      <c r="B80" s="122"/>
      <c r="C80" s="121">
        <v>30.88</v>
      </c>
      <c r="D80" s="121">
        <f t="shared" si="13"/>
        <v>0</v>
      </c>
      <c r="G80" s="257"/>
      <c r="H80" s="258"/>
    </row>
    <row r="81" spans="1:8" ht="15" thickBot="1" x14ac:dyDescent="0.35">
      <c r="A81" s="117" t="s">
        <v>914</v>
      </c>
      <c r="B81" s="122"/>
      <c r="C81" s="121">
        <v>36.75</v>
      </c>
      <c r="D81" s="121">
        <f t="shared" si="13"/>
        <v>0</v>
      </c>
      <c r="G81" s="257"/>
      <c r="H81" s="258"/>
    </row>
    <row r="82" spans="1:8" ht="15" thickBot="1" x14ac:dyDescent="0.35">
      <c r="A82" s="117" t="s">
        <v>915</v>
      </c>
      <c r="B82" s="122"/>
      <c r="C82" s="121">
        <v>43.92</v>
      </c>
      <c r="D82" s="121">
        <f t="shared" si="13"/>
        <v>0</v>
      </c>
      <c r="G82" s="257"/>
      <c r="H82" s="258"/>
    </row>
    <row r="83" spans="1:8" ht="15" thickBot="1" x14ac:dyDescent="0.35">
      <c r="A83" s="117" t="s">
        <v>916</v>
      </c>
      <c r="B83" s="122"/>
      <c r="C83" s="121">
        <v>70</v>
      </c>
      <c r="D83" s="121">
        <f t="shared" si="13"/>
        <v>0</v>
      </c>
      <c r="G83" s="257"/>
      <c r="H83" s="258"/>
    </row>
    <row r="84" spans="1:8" ht="15" thickBot="1" x14ac:dyDescent="0.35">
      <c r="A84" s="117" t="s">
        <v>917</v>
      </c>
      <c r="B84" s="120"/>
      <c r="C84" s="121">
        <v>115</v>
      </c>
      <c r="D84" s="121">
        <f t="shared" si="13"/>
        <v>0</v>
      </c>
      <c r="G84" s="255"/>
      <c r="H84" s="256"/>
    </row>
    <row r="85" spans="1:8" ht="15" thickBot="1" x14ac:dyDescent="0.35">
      <c r="A85" s="117" t="s">
        <v>918</v>
      </c>
      <c r="B85" s="120"/>
      <c r="C85" s="121">
        <v>35</v>
      </c>
      <c r="D85" s="121">
        <f t="shared" si="13"/>
        <v>0</v>
      </c>
      <c r="G85" s="255"/>
      <c r="H85" s="256"/>
    </row>
    <row r="86" spans="1:8" ht="15" thickBot="1" x14ac:dyDescent="0.35">
      <c r="A86" s="117" t="s">
        <v>919</v>
      </c>
      <c r="B86" s="120"/>
      <c r="C86" s="121">
        <v>50.78</v>
      </c>
      <c r="D86" s="121">
        <f t="shared" si="13"/>
        <v>0</v>
      </c>
      <c r="G86" s="255"/>
      <c r="H86" s="256"/>
    </row>
    <row r="87" spans="1:8" ht="15" thickBot="1" x14ac:dyDescent="0.35">
      <c r="A87" s="234" t="s">
        <v>964</v>
      </c>
      <c r="B87" s="231"/>
      <c r="C87" s="233">
        <v>60.47</v>
      </c>
      <c r="D87" s="233">
        <f t="shared" si="13"/>
        <v>0</v>
      </c>
      <c r="G87" s="255"/>
      <c r="H87" s="256"/>
    </row>
    <row r="88" spans="1:8" ht="15" thickBot="1" x14ac:dyDescent="0.35">
      <c r="A88" s="125"/>
      <c r="B88" s="370" t="s">
        <v>799</v>
      </c>
      <c r="C88" s="372"/>
      <c r="D88" s="127">
        <f>SUM(D76:D87)</f>
        <v>0</v>
      </c>
      <c r="G88" s="255"/>
      <c r="H88" s="256"/>
    </row>
    <row r="89" spans="1:8" ht="15" thickBot="1" x14ac:dyDescent="0.35">
      <c r="A89" s="116" t="s">
        <v>802</v>
      </c>
      <c r="B89" s="119"/>
      <c r="C89" s="119"/>
      <c r="D89" s="119"/>
      <c r="G89" s="255"/>
      <c r="H89" s="256"/>
    </row>
    <row r="90" spans="1:8" ht="15" thickBot="1" x14ac:dyDescent="0.35">
      <c r="A90" s="133" t="s">
        <v>988</v>
      </c>
      <c r="B90" s="129"/>
      <c r="C90" s="130">
        <v>300</v>
      </c>
      <c r="D90" s="130">
        <f>B90*C90</f>
        <v>0</v>
      </c>
      <c r="G90" s="255"/>
      <c r="H90" s="256"/>
    </row>
    <row r="91" spans="1:8" ht="15" thickBot="1" x14ac:dyDescent="0.35">
      <c r="A91" s="133" t="s">
        <v>947</v>
      </c>
      <c r="B91" s="131"/>
      <c r="C91" s="130">
        <v>120</v>
      </c>
      <c r="D91" s="130">
        <f>B91*C91</f>
        <v>0</v>
      </c>
      <c r="G91" s="255"/>
      <c r="H91" s="256"/>
    </row>
    <row r="92" spans="1:8" ht="15" thickBot="1" x14ac:dyDescent="0.35">
      <c r="A92" s="373"/>
      <c r="B92" s="374" t="s">
        <v>800</v>
      </c>
      <c r="C92" s="374"/>
      <c r="D92" s="127">
        <f>SUM(D90:D91)</f>
        <v>0</v>
      </c>
    </row>
    <row r="93" spans="1:8" ht="15" thickBot="1" x14ac:dyDescent="0.35">
      <c r="A93" s="373"/>
      <c r="B93" s="375" t="s">
        <v>803</v>
      </c>
      <c r="C93" s="375"/>
      <c r="D93" s="132">
        <f>D92+D88+D74</f>
        <v>0</v>
      </c>
    </row>
  </sheetData>
  <mergeCells count="24">
    <mergeCell ref="L49:P49"/>
    <mergeCell ref="A1:D1"/>
    <mergeCell ref="G2:H2"/>
    <mergeCell ref="A42:A43"/>
    <mergeCell ref="B43:C43"/>
    <mergeCell ref="B18:C18"/>
    <mergeCell ref="B24:C24"/>
    <mergeCell ref="B38:C38"/>
    <mergeCell ref="B42:C42"/>
    <mergeCell ref="A45:D45"/>
    <mergeCell ref="L50:N50"/>
    <mergeCell ref="B74:C74"/>
    <mergeCell ref="B88:C88"/>
    <mergeCell ref="A92:A93"/>
    <mergeCell ref="B92:C92"/>
    <mergeCell ref="B93:C93"/>
    <mergeCell ref="B52:C52"/>
    <mergeCell ref="B56:C56"/>
    <mergeCell ref="B60:C60"/>
    <mergeCell ref="B64:C64"/>
    <mergeCell ref="B65:C65"/>
    <mergeCell ref="A68:D68"/>
    <mergeCell ref="A66:D67"/>
    <mergeCell ref="A64:A65"/>
  </mergeCells>
  <pageMargins left="0.7" right="0.7" top="0.75" bottom="0.75" header="0.3" footer="0.3"/>
  <pageSetup paperSize="9" scale="77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C9383-7027-463F-8199-9795575B87E2}">
  <dimension ref="A1:P93"/>
  <sheetViews>
    <sheetView topLeftCell="E46" zoomScaleNormal="100" workbookViewId="0">
      <selection activeCell="G67" sqref="G67:M67"/>
    </sheetView>
  </sheetViews>
  <sheetFormatPr baseColWidth="10" defaultRowHeight="14.4" x14ac:dyDescent="0.3"/>
  <cols>
    <col min="1" max="1" width="60.33203125" customWidth="1"/>
    <col min="2" max="3" width="12.6640625" customWidth="1"/>
    <col min="7" max="7" width="15.33203125" bestFit="1" customWidth="1"/>
    <col min="8" max="8" width="18.109375" customWidth="1"/>
    <col min="9" max="9" width="79.6640625" bestFit="1" customWidth="1"/>
    <col min="10" max="10" width="15.6640625" customWidth="1"/>
    <col min="258" max="258" width="55" customWidth="1"/>
    <col min="260" max="260" width="12.6640625" customWidth="1"/>
    <col min="264" max="264" width="79.6640625" bestFit="1" customWidth="1"/>
    <col min="514" max="514" width="55" customWidth="1"/>
    <col min="516" max="516" width="12.6640625" customWidth="1"/>
    <col min="520" max="520" width="79.6640625" bestFit="1" customWidth="1"/>
    <col min="770" max="770" width="55" customWidth="1"/>
    <col min="772" max="772" width="12.6640625" customWidth="1"/>
    <col min="776" max="776" width="79.6640625" bestFit="1" customWidth="1"/>
    <col min="1026" max="1026" width="55" customWidth="1"/>
    <col min="1028" max="1028" width="12.6640625" customWidth="1"/>
    <col min="1032" max="1032" width="79.6640625" bestFit="1" customWidth="1"/>
    <col min="1282" max="1282" width="55" customWidth="1"/>
    <col min="1284" max="1284" width="12.6640625" customWidth="1"/>
    <col min="1288" max="1288" width="79.6640625" bestFit="1" customWidth="1"/>
    <col min="1538" max="1538" width="55" customWidth="1"/>
    <col min="1540" max="1540" width="12.6640625" customWidth="1"/>
    <col min="1544" max="1544" width="79.6640625" bestFit="1" customWidth="1"/>
    <col min="1794" max="1794" width="55" customWidth="1"/>
    <col min="1796" max="1796" width="12.6640625" customWidth="1"/>
    <col min="1800" max="1800" width="79.6640625" bestFit="1" customWidth="1"/>
    <col min="2050" max="2050" width="55" customWidth="1"/>
    <col min="2052" max="2052" width="12.6640625" customWidth="1"/>
    <col min="2056" max="2056" width="79.6640625" bestFit="1" customWidth="1"/>
    <col min="2306" max="2306" width="55" customWidth="1"/>
    <col min="2308" max="2308" width="12.6640625" customWidth="1"/>
    <col min="2312" max="2312" width="79.6640625" bestFit="1" customWidth="1"/>
    <col min="2562" max="2562" width="55" customWidth="1"/>
    <col min="2564" max="2564" width="12.6640625" customWidth="1"/>
    <col min="2568" max="2568" width="79.6640625" bestFit="1" customWidth="1"/>
    <col min="2818" max="2818" width="55" customWidth="1"/>
    <col min="2820" max="2820" width="12.6640625" customWidth="1"/>
    <col min="2824" max="2824" width="79.6640625" bestFit="1" customWidth="1"/>
    <col min="3074" max="3074" width="55" customWidth="1"/>
    <col min="3076" max="3076" width="12.6640625" customWidth="1"/>
    <col min="3080" max="3080" width="79.6640625" bestFit="1" customWidth="1"/>
    <col min="3330" max="3330" width="55" customWidth="1"/>
    <col min="3332" max="3332" width="12.6640625" customWidth="1"/>
    <col min="3336" max="3336" width="79.6640625" bestFit="1" customWidth="1"/>
    <col min="3586" max="3586" width="55" customWidth="1"/>
    <col min="3588" max="3588" width="12.6640625" customWidth="1"/>
    <col min="3592" max="3592" width="79.6640625" bestFit="1" customWidth="1"/>
    <col min="3842" max="3842" width="55" customWidth="1"/>
    <col min="3844" max="3844" width="12.6640625" customWidth="1"/>
    <col min="3848" max="3848" width="79.6640625" bestFit="1" customWidth="1"/>
    <col min="4098" max="4098" width="55" customWidth="1"/>
    <col min="4100" max="4100" width="12.6640625" customWidth="1"/>
    <col min="4104" max="4104" width="79.6640625" bestFit="1" customWidth="1"/>
    <col min="4354" max="4354" width="55" customWidth="1"/>
    <col min="4356" max="4356" width="12.6640625" customWidth="1"/>
    <col min="4360" max="4360" width="79.6640625" bestFit="1" customWidth="1"/>
    <col min="4610" max="4610" width="55" customWidth="1"/>
    <col min="4612" max="4612" width="12.6640625" customWidth="1"/>
    <col min="4616" max="4616" width="79.6640625" bestFit="1" customWidth="1"/>
    <col min="4866" max="4866" width="55" customWidth="1"/>
    <col min="4868" max="4868" width="12.6640625" customWidth="1"/>
    <col min="4872" max="4872" width="79.6640625" bestFit="1" customWidth="1"/>
    <col min="5122" max="5122" width="55" customWidth="1"/>
    <col min="5124" max="5124" width="12.6640625" customWidth="1"/>
    <col min="5128" max="5128" width="79.6640625" bestFit="1" customWidth="1"/>
    <col min="5378" max="5378" width="55" customWidth="1"/>
    <col min="5380" max="5380" width="12.6640625" customWidth="1"/>
    <col min="5384" max="5384" width="79.6640625" bestFit="1" customWidth="1"/>
    <col min="5634" max="5634" width="55" customWidth="1"/>
    <col min="5636" max="5636" width="12.6640625" customWidth="1"/>
    <col min="5640" max="5640" width="79.6640625" bestFit="1" customWidth="1"/>
    <col min="5890" max="5890" width="55" customWidth="1"/>
    <col min="5892" max="5892" width="12.6640625" customWidth="1"/>
    <col min="5896" max="5896" width="79.6640625" bestFit="1" customWidth="1"/>
    <col min="6146" max="6146" width="55" customWidth="1"/>
    <col min="6148" max="6148" width="12.6640625" customWidth="1"/>
    <col min="6152" max="6152" width="79.6640625" bestFit="1" customWidth="1"/>
    <col min="6402" max="6402" width="55" customWidth="1"/>
    <col min="6404" max="6404" width="12.6640625" customWidth="1"/>
    <col min="6408" max="6408" width="79.6640625" bestFit="1" customWidth="1"/>
    <col min="6658" max="6658" width="55" customWidth="1"/>
    <col min="6660" max="6660" width="12.6640625" customWidth="1"/>
    <col min="6664" max="6664" width="79.6640625" bestFit="1" customWidth="1"/>
    <col min="6914" max="6914" width="55" customWidth="1"/>
    <col min="6916" max="6916" width="12.6640625" customWidth="1"/>
    <col min="6920" max="6920" width="79.6640625" bestFit="1" customWidth="1"/>
    <col min="7170" max="7170" width="55" customWidth="1"/>
    <col min="7172" max="7172" width="12.6640625" customWidth="1"/>
    <col min="7176" max="7176" width="79.6640625" bestFit="1" customWidth="1"/>
    <col min="7426" max="7426" width="55" customWidth="1"/>
    <col min="7428" max="7428" width="12.6640625" customWidth="1"/>
    <col min="7432" max="7432" width="79.6640625" bestFit="1" customWidth="1"/>
    <col min="7682" max="7682" width="55" customWidth="1"/>
    <col min="7684" max="7684" width="12.6640625" customWidth="1"/>
    <col min="7688" max="7688" width="79.6640625" bestFit="1" customWidth="1"/>
    <col min="7938" max="7938" width="55" customWidth="1"/>
    <col min="7940" max="7940" width="12.6640625" customWidth="1"/>
    <col min="7944" max="7944" width="79.6640625" bestFit="1" customWidth="1"/>
    <col min="8194" max="8194" width="55" customWidth="1"/>
    <col min="8196" max="8196" width="12.6640625" customWidth="1"/>
    <col min="8200" max="8200" width="79.6640625" bestFit="1" customWidth="1"/>
    <col min="8450" max="8450" width="55" customWidth="1"/>
    <col min="8452" max="8452" width="12.6640625" customWidth="1"/>
    <col min="8456" max="8456" width="79.6640625" bestFit="1" customWidth="1"/>
    <col min="8706" max="8706" width="55" customWidth="1"/>
    <col min="8708" max="8708" width="12.6640625" customWidth="1"/>
    <col min="8712" max="8712" width="79.6640625" bestFit="1" customWidth="1"/>
    <col min="8962" max="8962" width="55" customWidth="1"/>
    <col min="8964" max="8964" width="12.6640625" customWidth="1"/>
    <col min="8968" max="8968" width="79.6640625" bestFit="1" customWidth="1"/>
    <col min="9218" max="9218" width="55" customWidth="1"/>
    <col min="9220" max="9220" width="12.6640625" customWidth="1"/>
    <col min="9224" max="9224" width="79.6640625" bestFit="1" customWidth="1"/>
    <col min="9474" max="9474" width="55" customWidth="1"/>
    <col min="9476" max="9476" width="12.6640625" customWidth="1"/>
    <col min="9480" max="9480" width="79.6640625" bestFit="1" customWidth="1"/>
    <col min="9730" max="9730" width="55" customWidth="1"/>
    <col min="9732" max="9732" width="12.6640625" customWidth="1"/>
    <col min="9736" max="9736" width="79.6640625" bestFit="1" customWidth="1"/>
    <col min="9986" max="9986" width="55" customWidth="1"/>
    <col min="9988" max="9988" width="12.6640625" customWidth="1"/>
    <col min="9992" max="9992" width="79.6640625" bestFit="1" customWidth="1"/>
    <col min="10242" max="10242" width="55" customWidth="1"/>
    <col min="10244" max="10244" width="12.6640625" customWidth="1"/>
    <col min="10248" max="10248" width="79.6640625" bestFit="1" customWidth="1"/>
    <col min="10498" max="10498" width="55" customWidth="1"/>
    <col min="10500" max="10500" width="12.6640625" customWidth="1"/>
    <col min="10504" max="10504" width="79.6640625" bestFit="1" customWidth="1"/>
    <col min="10754" max="10754" width="55" customWidth="1"/>
    <col min="10756" max="10756" width="12.6640625" customWidth="1"/>
    <col min="10760" max="10760" width="79.6640625" bestFit="1" customWidth="1"/>
    <col min="11010" max="11010" width="55" customWidth="1"/>
    <col min="11012" max="11012" width="12.6640625" customWidth="1"/>
    <col min="11016" max="11016" width="79.6640625" bestFit="1" customWidth="1"/>
    <col min="11266" max="11266" width="55" customWidth="1"/>
    <col min="11268" max="11268" width="12.6640625" customWidth="1"/>
    <col min="11272" max="11272" width="79.6640625" bestFit="1" customWidth="1"/>
    <col min="11522" max="11522" width="55" customWidth="1"/>
    <col min="11524" max="11524" width="12.6640625" customWidth="1"/>
    <col min="11528" max="11528" width="79.6640625" bestFit="1" customWidth="1"/>
    <col min="11778" max="11778" width="55" customWidth="1"/>
    <col min="11780" max="11780" width="12.6640625" customWidth="1"/>
    <col min="11784" max="11784" width="79.6640625" bestFit="1" customWidth="1"/>
    <col min="12034" max="12034" width="55" customWidth="1"/>
    <col min="12036" max="12036" width="12.6640625" customWidth="1"/>
    <col min="12040" max="12040" width="79.6640625" bestFit="1" customWidth="1"/>
    <col min="12290" max="12290" width="55" customWidth="1"/>
    <col min="12292" max="12292" width="12.6640625" customWidth="1"/>
    <col min="12296" max="12296" width="79.6640625" bestFit="1" customWidth="1"/>
    <col min="12546" max="12546" width="55" customWidth="1"/>
    <col min="12548" max="12548" width="12.6640625" customWidth="1"/>
    <col min="12552" max="12552" width="79.6640625" bestFit="1" customWidth="1"/>
    <col min="12802" max="12802" width="55" customWidth="1"/>
    <col min="12804" max="12804" width="12.6640625" customWidth="1"/>
    <col min="12808" max="12808" width="79.6640625" bestFit="1" customWidth="1"/>
    <col min="13058" max="13058" width="55" customWidth="1"/>
    <col min="13060" max="13060" width="12.6640625" customWidth="1"/>
    <col min="13064" max="13064" width="79.6640625" bestFit="1" customWidth="1"/>
    <col min="13314" max="13314" width="55" customWidth="1"/>
    <col min="13316" max="13316" width="12.6640625" customWidth="1"/>
    <col min="13320" max="13320" width="79.6640625" bestFit="1" customWidth="1"/>
    <col min="13570" max="13570" width="55" customWidth="1"/>
    <col min="13572" max="13572" width="12.6640625" customWidth="1"/>
    <col min="13576" max="13576" width="79.6640625" bestFit="1" customWidth="1"/>
    <col min="13826" max="13826" width="55" customWidth="1"/>
    <col min="13828" max="13828" width="12.6640625" customWidth="1"/>
    <col min="13832" max="13832" width="79.6640625" bestFit="1" customWidth="1"/>
    <col min="14082" max="14082" width="55" customWidth="1"/>
    <col min="14084" max="14084" width="12.6640625" customWidth="1"/>
    <col min="14088" max="14088" width="79.6640625" bestFit="1" customWidth="1"/>
    <col min="14338" max="14338" width="55" customWidth="1"/>
    <col min="14340" max="14340" width="12.6640625" customWidth="1"/>
    <col min="14344" max="14344" width="79.6640625" bestFit="1" customWidth="1"/>
    <col min="14594" max="14594" width="55" customWidth="1"/>
    <col min="14596" max="14596" width="12.6640625" customWidth="1"/>
    <col min="14600" max="14600" width="79.6640625" bestFit="1" customWidth="1"/>
    <col min="14850" max="14850" width="55" customWidth="1"/>
    <col min="14852" max="14852" width="12.6640625" customWidth="1"/>
    <col min="14856" max="14856" width="79.6640625" bestFit="1" customWidth="1"/>
    <col min="15106" max="15106" width="55" customWidth="1"/>
    <col min="15108" max="15108" width="12.6640625" customWidth="1"/>
    <col min="15112" max="15112" width="79.6640625" bestFit="1" customWidth="1"/>
    <col min="15362" max="15362" width="55" customWidth="1"/>
    <col min="15364" max="15364" width="12.6640625" customWidth="1"/>
    <col min="15368" max="15368" width="79.6640625" bestFit="1" customWidth="1"/>
    <col min="15618" max="15618" width="55" customWidth="1"/>
    <col min="15620" max="15620" width="12.6640625" customWidth="1"/>
    <col min="15624" max="15624" width="79.6640625" bestFit="1" customWidth="1"/>
    <col min="15874" max="15874" width="55" customWidth="1"/>
    <col min="15876" max="15876" width="12.6640625" customWidth="1"/>
    <col min="15880" max="15880" width="79.6640625" bestFit="1" customWidth="1"/>
    <col min="16130" max="16130" width="55" customWidth="1"/>
    <col min="16132" max="16132" width="12.6640625" customWidth="1"/>
    <col min="16136" max="16136" width="79.6640625" bestFit="1" customWidth="1"/>
  </cols>
  <sheetData>
    <row r="1" spans="1:13" ht="24" customHeight="1" thickBot="1" x14ac:dyDescent="0.35">
      <c r="A1" s="388" t="s">
        <v>863</v>
      </c>
      <c r="B1" s="388"/>
      <c r="C1" s="388"/>
      <c r="D1" s="388"/>
      <c r="E1" s="92"/>
    </row>
    <row r="2" spans="1:13" ht="26.25" customHeight="1" thickBot="1" x14ac:dyDescent="0.35">
      <c r="A2" s="115" t="s">
        <v>871</v>
      </c>
      <c r="B2" s="115" t="s">
        <v>872</v>
      </c>
      <c r="C2" s="115" t="s">
        <v>873</v>
      </c>
      <c r="D2" s="115" t="s">
        <v>808</v>
      </c>
      <c r="E2" s="93"/>
      <c r="G2" s="389" t="s">
        <v>819</v>
      </c>
      <c r="H2" s="390"/>
      <c r="I2" s="100"/>
    </row>
    <row r="3" spans="1:13" ht="15.75" customHeight="1" thickBot="1" x14ac:dyDescent="0.35">
      <c r="A3" s="116" t="s">
        <v>864</v>
      </c>
      <c r="B3" s="119"/>
      <c r="C3" s="119"/>
      <c r="D3" s="119"/>
      <c r="E3" s="94"/>
      <c r="G3" s="140" t="s">
        <v>922</v>
      </c>
      <c r="H3" s="141"/>
      <c r="I3" s="101"/>
      <c r="K3" s="76"/>
      <c r="M3" s="74"/>
    </row>
    <row r="4" spans="1:13" ht="12.75" customHeight="1" thickBot="1" x14ac:dyDescent="0.35">
      <c r="A4" s="117" t="s">
        <v>815</v>
      </c>
      <c r="B4" s="120"/>
      <c r="C4" s="121">
        <v>510</v>
      </c>
      <c r="D4" s="121">
        <f>(B4*C4)</f>
        <v>0</v>
      </c>
      <c r="E4" s="91"/>
      <c r="F4" s="77"/>
      <c r="G4" s="145">
        <v>450</v>
      </c>
      <c r="H4" s="145">
        <f>G4*B4</f>
        <v>0</v>
      </c>
      <c r="I4" s="142" t="s">
        <v>813</v>
      </c>
    </row>
    <row r="5" spans="1:13" ht="12.75" customHeight="1" thickBot="1" x14ac:dyDescent="0.35">
      <c r="A5" s="118" t="s">
        <v>865</v>
      </c>
      <c r="B5" s="120"/>
      <c r="C5" s="121">
        <v>51</v>
      </c>
      <c r="D5" s="121">
        <f t="shared" ref="D5:D17" si="0">+B5*C5</f>
        <v>0</v>
      </c>
      <c r="E5" s="91"/>
      <c r="F5" s="77"/>
      <c r="G5" s="146">
        <v>42</v>
      </c>
      <c r="H5" s="145">
        <f t="shared" ref="H5:H17" si="1">G5*B5</f>
        <v>0</v>
      </c>
      <c r="I5" s="143" t="s">
        <v>865</v>
      </c>
    </row>
    <row r="6" spans="1:13" ht="12.75" customHeight="1" thickBot="1" x14ac:dyDescent="0.35">
      <c r="A6" s="117" t="s">
        <v>866</v>
      </c>
      <c r="B6" s="120"/>
      <c r="C6" s="121">
        <v>41.14</v>
      </c>
      <c r="D6" s="121">
        <f t="shared" si="0"/>
        <v>0</v>
      </c>
      <c r="E6" s="91"/>
      <c r="F6" s="77"/>
      <c r="G6" s="147">
        <v>60</v>
      </c>
      <c r="H6" s="145">
        <f t="shared" si="1"/>
        <v>0</v>
      </c>
      <c r="I6" s="143" t="s">
        <v>866</v>
      </c>
      <c r="J6" s="86"/>
    </row>
    <row r="7" spans="1:13" ht="14.25" customHeight="1" thickBot="1" x14ac:dyDescent="0.35">
      <c r="A7" s="117" t="s">
        <v>867</v>
      </c>
      <c r="B7" s="122"/>
      <c r="C7" s="121">
        <v>51</v>
      </c>
      <c r="D7" s="121">
        <f t="shared" si="0"/>
        <v>0</v>
      </c>
      <c r="E7" s="91"/>
      <c r="F7" s="77"/>
      <c r="G7" s="147">
        <v>68.900000000000006</v>
      </c>
      <c r="H7" s="145">
        <f t="shared" si="1"/>
        <v>0</v>
      </c>
      <c r="I7" s="144" t="s">
        <v>867</v>
      </c>
      <c r="J7" s="86"/>
    </row>
    <row r="8" spans="1:13" ht="13.5" customHeight="1" thickBot="1" x14ac:dyDescent="0.35">
      <c r="A8" s="117" t="s">
        <v>868</v>
      </c>
      <c r="B8" s="120"/>
      <c r="C8" s="121">
        <v>72.11</v>
      </c>
      <c r="D8" s="121">
        <f t="shared" si="0"/>
        <v>0</v>
      </c>
      <c r="E8" s="91"/>
      <c r="F8" s="77"/>
      <c r="G8" s="147">
        <v>40.93</v>
      </c>
      <c r="H8" s="145">
        <f t="shared" si="1"/>
        <v>0</v>
      </c>
      <c r="I8" s="142" t="s">
        <v>868</v>
      </c>
      <c r="J8" s="86"/>
    </row>
    <row r="9" spans="1:13" ht="12.75" customHeight="1" thickBot="1" x14ac:dyDescent="0.35">
      <c r="A9" s="117" t="s">
        <v>869</v>
      </c>
      <c r="B9" s="120"/>
      <c r="C9" s="121">
        <v>68</v>
      </c>
      <c r="D9" s="121">
        <f t="shared" si="0"/>
        <v>0</v>
      </c>
      <c r="E9" s="91"/>
      <c r="G9" s="147">
        <v>61.73</v>
      </c>
      <c r="H9" s="145">
        <f t="shared" si="1"/>
        <v>0</v>
      </c>
      <c r="I9" s="142" t="s">
        <v>869</v>
      </c>
      <c r="J9" s="86"/>
    </row>
    <row r="10" spans="1:13" ht="12.75" customHeight="1" thickBot="1" x14ac:dyDescent="0.35">
      <c r="A10" s="117" t="s">
        <v>870</v>
      </c>
      <c r="B10" s="120"/>
      <c r="C10" s="121">
        <f>C6*1.2</f>
        <v>49.368000000000002</v>
      </c>
      <c r="D10" s="121">
        <f t="shared" si="0"/>
        <v>0</v>
      </c>
      <c r="E10" s="91"/>
      <c r="G10" s="147">
        <v>66.03</v>
      </c>
      <c r="H10" s="145">
        <f t="shared" si="1"/>
        <v>0</v>
      </c>
      <c r="I10" s="142" t="s">
        <v>870</v>
      </c>
      <c r="M10" s="87"/>
    </row>
    <row r="11" spans="1:13" ht="12.75" customHeight="1" thickBot="1" x14ac:dyDescent="0.35">
      <c r="A11" s="117" t="s">
        <v>874</v>
      </c>
      <c r="B11" s="120"/>
      <c r="C11" s="121">
        <f t="shared" ref="C11:C13" si="2">C7*1.2</f>
        <v>61.199999999999996</v>
      </c>
      <c r="D11" s="121">
        <f t="shared" si="0"/>
        <v>0</v>
      </c>
      <c r="E11" s="91"/>
      <c r="G11" s="146">
        <v>45</v>
      </c>
      <c r="H11" s="145">
        <f t="shared" si="1"/>
        <v>0</v>
      </c>
      <c r="I11" s="142" t="s">
        <v>874</v>
      </c>
      <c r="J11" s="86"/>
    </row>
    <row r="12" spans="1:13" ht="12.75" customHeight="1" thickBot="1" x14ac:dyDescent="0.35">
      <c r="A12" s="117" t="s">
        <v>875</v>
      </c>
      <c r="B12" s="120"/>
      <c r="C12" s="121">
        <f t="shared" si="2"/>
        <v>86.531999999999996</v>
      </c>
      <c r="D12" s="121">
        <f t="shared" si="0"/>
        <v>0</v>
      </c>
      <c r="E12" s="91"/>
      <c r="G12" s="147">
        <v>7.08</v>
      </c>
      <c r="H12" s="145">
        <f t="shared" si="1"/>
        <v>0</v>
      </c>
      <c r="I12" s="142" t="s">
        <v>875</v>
      </c>
      <c r="J12" s="86"/>
    </row>
    <row r="13" spans="1:13" ht="12.75" customHeight="1" thickBot="1" x14ac:dyDescent="0.35">
      <c r="A13" s="117" t="s">
        <v>876</v>
      </c>
      <c r="B13" s="122"/>
      <c r="C13" s="121">
        <f t="shared" si="2"/>
        <v>81.599999999999994</v>
      </c>
      <c r="D13" s="121">
        <f t="shared" si="0"/>
        <v>0</v>
      </c>
      <c r="E13" s="91"/>
      <c r="G13" s="146">
        <v>11.13</v>
      </c>
      <c r="H13" s="145">
        <f t="shared" si="1"/>
        <v>0</v>
      </c>
      <c r="I13" s="142" t="s">
        <v>876</v>
      </c>
      <c r="J13" s="86"/>
    </row>
    <row r="14" spans="1:13" ht="12.75" customHeight="1" thickBot="1" x14ac:dyDescent="0.35">
      <c r="A14" s="117" t="s">
        <v>877</v>
      </c>
      <c r="B14" s="122"/>
      <c r="C14" s="121">
        <v>22</v>
      </c>
      <c r="D14" s="121">
        <f t="shared" si="0"/>
        <v>0</v>
      </c>
      <c r="E14" s="91"/>
      <c r="F14" s="89"/>
      <c r="G14" s="147">
        <v>2.98</v>
      </c>
      <c r="H14" s="145">
        <f t="shared" si="1"/>
        <v>0</v>
      </c>
      <c r="I14" s="142" t="s">
        <v>877</v>
      </c>
      <c r="J14" s="86"/>
    </row>
    <row r="15" spans="1:13" ht="12.75" customHeight="1" thickBot="1" x14ac:dyDescent="0.35">
      <c r="A15" s="117" t="s">
        <v>878</v>
      </c>
      <c r="B15" s="122"/>
      <c r="C15" s="121">
        <v>23</v>
      </c>
      <c r="D15" s="121">
        <f t="shared" si="0"/>
        <v>0</v>
      </c>
      <c r="E15" s="91"/>
      <c r="F15" s="87"/>
      <c r="G15" s="147">
        <v>1.81</v>
      </c>
      <c r="H15" s="145">
        <f t="shared" si="1"/>
        <v>0</v>
      </c>
      <c r="I15" s="142" t="s">
        <v>878</v>
      </c>
    </row>
    <row r="16" spans="1:13" ht="12.75" customHeight="1" thickBot="1" x14ac:dyDescent="0.35">
      <c r="A16" s="117" t="s">
        <v>879</v>
      </c>
      <c r="B16" s="120"/>
      <c r="C16" s="121">
        <v>12</v>
      </c>
      <c r="D16" s="121">
        <f t="shared" si="0"/>
        <v>0</v>
      </c>
      <c r="E16" s="91"/>
      <c r="F16" s="90"/>
      <c r="G16" s="146">
        <v>51</v>
      </c>
      <c r="H16" s="145">
        <f t="shared" si="1"/>
        <v>0</v>
      </c>
      <c r="I16" s="142" t="s">
        <v>879</v>
      </c>
    </row>
    <row r="17" spans="1:13" ht="17.25" customHeight="1" thickBot="1" x14ac:dyDescent="0.35">
      <c r="A17" s="117" t="s">
        <v>880</v>
      </c>
      <c r="B17" s="123"/>
      <c r="C17" s="124">
        <v>11</v>
      </c>
      <c r="D17" s="124">
        <f t="shared" si="0"/>
        <v>0</v>
      </c>
      <c r="E17" s="91"/>
      <c r="G17" s="153">
        <v>13</v>
      </c>
      <c r="H17" s="145">
        <f t="shared" si="1"/>
        <v>0</v>
      </c>
      <c r="I17" s="142" t="s">
        <v>880</v>
      </c>
    </row>
    <row r="18" spans="1:13" ht="12.75" customHeight="1" thickTop="1" thickBot="1" x14ac:dyDescent="0.35">
      <c r="A18" s="125"/>
      <c r="B18" s="393" t="s">
        <v>798</v>
      </c>
      <c r="C18" s="394"/>
      <c r="D18" s="136">
        <f>SUM(D4:D17)</f>
        <v>0</v>
      </c>
      <c r="E18" s="95"/>
      <c r="F18" s="87"/>
      <c r="G18" s="154">
        <v>12</v>
      </c>
      <c r="H18" s="154">
        <f>G18*B20</f>
        <v>0</v>
      </c>
      <c r="I18" s="142" t="s">
        <v>882</v>
      </c>
    </row>
    <row r="19" spans="1:13" ht="12.75" customHeight="1" thickBot="1" x14ac:dyDescent="0.35">
      <c r="A19" s="116" t="s">
        <v>881</v>
      </c>
      <c r="B19" s="119"/>
      <c r="C19" s="119"/>
      <c r="D19" s="119"/>
      <c r="E19" s="94"/>
      <c r="G19" s="148">
        <v>60</v>
      </c>
      <c r="H19" s="146">
        <f t="shared" ref="H19:H21" si="3">G19*B21</f>
        <v>0</v>
      </c>
      <c r="I19" s="142" t="s">
        <v>883</v>
      </c>
      <c r="L19" s="74"/>
      <c r="M19" s="88"/>
    </row>
    <row r="20" spans="1:13" ht="12.75" customHeight="1" thickBot="1" x14ac:dyDescent="0.35">
      <c r="A20" s="117" t="s">
        <v>882</v>
      </c>
      <c r="B20" s="122"/>
      <c r="C20" s="121">
        <v>250</v>
      </c>
      <c r="D20" s="126">
        <f>(B20*C20)</f>
        <v>0</v>
      </c>
      <c r="E20" s="96"/>
      <c r="G20" s="147">
        <v>22</v>
      </c>
      <c r="H20" s="146">
        <f t="shared" si="3"/>
        <v>0</v>
      </c>
      <c r="I20" s="152" t="s">
        <v>884</v>
      </c>
    </row>
    <row r="21" spans="1:13" ht="15" thickBot="1" x14ac:dyDescent="0.35">
      <c r="A21" s="118" t="s">
        <v>883</v>
      </c>
      <c r="B21" s="122"/>
      <c r="C21" s="121">
        <v>10</v>
      </c>
      <c r="D21" s="126">
        <f t="shared" ref="D21:D23" si="4">(B21*C21)</f>
        <v>0</v>
      </c>
      <c r="E21" s="96"/>
      <c r="G21" s="147"/>
      <c r="H21" s="146">
        <f t="shared" si="3"/>
        <v>0</v>
      </c>
      <c r="I21" s="152" t="s">
        <v>885</v>
      </c>
    </row>
    <row r="22" spans="1:13" ht="13.5" customHeight="1" thickBot="1" x14ac:dyDescent="0.35">
      <c r="A22" s="117" t="s">
        <v>884</v>
      </c>
      <c r="B22" s="122"/>
      <c r="C22" s="121">
        <v>28</v>
      </c>
      <c r="D22" s="126">
        <f t="shared" si="4"/>
        <v>0</v>
      </c>
      <c r="E22" s="91"/>
      <c r="G22" s="146">
        <v>8</v>
      </c>
      <c r="H22" s="149">
        <f>B55</f>
        <v>1</v>
      </c>
      <c r="I22" s="142" t="s">
        <v>923</v>
      </c>
    </row>
    <row r="23" spans="1:13" ht="12.75" customHeight="1" thickBot="1" x14ac:dyDescent="0.35">
      <c r="A23" s="117" t="s">
        <v>885</v>
      </c>
      <c r="B23" s="120"/>
      <c r="C23" s="121">
        <v>28</v>
      </c>
      <c r="D23" s="126">
        <f t="shared" si="4"/>
        <v>0</v>
      </c>
      <c r="E23" s="91"/>
      <c r="G23" s="150">
        <v>28.5</v>
      </c>
      <c r="H23" s="151">
        <f>B73</f>
        <v>0</v>
      </c>
      <c r="I23" s="142" t="s">
        <v>924</v>
      </c>
    </row>
    <row r="24" spans="1:13" ht="12.75" customHeight="1" thickBot="1" x14ac:dyDescent="0.35">
      <c r="A24" s="125"/>
      <c r="B24" s="370" t="s">
        <v>799</v>
      </c>
      <c r="C24" s="371"/>
      <c r="D24" s="136">
        <f>SUM(D20:D23)</f>
        <v>0</v>
      </c>
      <c r="E24" s="97"/>
      <c r="G24" s="74"/>
      <c r="H24" s="213">
        <f>SUM(H4:H23)</f>
        <v>1</v>
      </c>
    </row>
    <row r="25" spans="1:13" ht="12.75" customHeight="1" thickBot="1" x14ac:dyDescent="0.35">
      <c r="A25" s="116" t="s">
        <v>886</v>
      </c>
      <c r="B25" s="119"/>
      <c r="C25" s="119"/>
      <c r="D25" s="119"/>
      <c r="E25" s="94"/>
    </row>
    <row r="26" spans="1:13" ht="12.75" customHeight="1" thickBot="1" x14ac:dyDescent="0.35">
      <c r="A26" s="117" t="s">
        <v>887</v>
      </c>
      <c r="B26" s="120"/>
      <c r="C26" s="121">
        <v>5.93</v>
      </c>
      <c r="D26" s="121">
        <f t="shared" ref="D26:D37" si="5">+B26*C26</f>
        <v>0</v>
      </c>
      <c r="E26" s="91"/>
      <c r="G26" s="178" t="s">
        <v>925</v>
      </c>
      <c r="H26" s="179"/>
      <c r="I26" s="102"/>
      <c r="J26" s="102"/>
    </row>
    <row r="27" spans="1:13" ht="12.75" customHeight="1" thickBot="1" x14ac:dyDescent="0.35">
      <c r="A27" s="117" t="s">
        <v>888</v>
      </c>
      <c r="B27" s="122"/>
      <c r="C27" s="121">
        <v>26.08</v>
      </c>
      <c r="D27" s="121">
        <f t="shared" si="5"/>
        <v>0</v>
      </c>
      <c r="E27" s="91"/>
      <c r="G27" s="155"/>
      <c r="H27" s="156"/>
      <c r="I27" s="102"/>
      <c r="J27" s="102"/>
    </row>
    <row r="28" spans="1:13" ht="14.25" customHeight="1" thickBot="1" x14ac:dyDescent="0.35">
      <c r="A28" s="117" t="s">
        <v>889</v>
      </c>
      <c r="B28" s="122"/>
      <c r="C28" s="121">
        <v>27.76</v>
      </c>
      <c r="D28" s="121">
        <f t="shared" si="5"/>
        <v>0</v>
      </c>
      <c r="E28" s="91"/>
      <c r="F28" s="87"/>
      <c r="G28" s="163">
        <v>7.2</v>
      </c>
      <c r="H28" s="208">
        <f>G28*B26</f>
        <v>0</v>
      </c>
      <c r="I28" s="164" t="s">
        <v>887</v>
      </c>
      <c r="J28" s="102"/>
    </row>
    <row r="29" spans="1:13" ht="15" customHeight="1" thickBot="1" x14ac:dyDescent="0.35">
      <c r="A29" s="128" t="s">
        <v>890</v>
      </c>
      <c r="B29" s="122"/>
      <c r="C29" s="121">
        <v>37.1</v>
      </c>
      <c r="D29" s="121">
        <f t="shared" si="5"/>
        <v>0</v>
      </c>
      <c r="E29" s="91"/>
      <c r="F29" s="90"/>
      <c r="G29" s="163">
        <v>2.7</v>
      </c>
      <c r="H29" s="208">
        <f t="shared" ref="H29:H39" si="6">G29*B27</f>
        <v>0</v>
      </c>
      <c r="I29" s="164" t="s">
        <v>888</v>
      </c>
      <c r="J29" s="102"/>
    </row>
    <row r="30" spans="1:13" ht="12.75" customHeight="1" thickBot="1" x14ac:dyDescent="0.35">
      <c r="A30" s="117" t="s">
        <v>891</v>
      </c>
      <c r="B30" s="122"/>
      <c r="C30" s="121">
        <v>51.97</v>
      </c>
      <c r="D30" s="121">
        <f t="shared" si="5"/>
        <v>0</v>
      </c>
      <c r="E30" s="91"/>
      <c r="F30" s="90"/>
      <c r="G30" s="165"/>
      <c r="H30" s="208">
        <f t="shared" si="6"/>
        <v>0</v>
      </c>
      <c r="I30" s="166" t="s">
        <v>889</v>
      </c>
      <c r="J30" s="102"/>
    </row>
    <row r="31" spans="1:13" ht="12.75" customHeight="1" thickBot="1" x14ac:dyDescent="0.35">
      <c r="A31" s="117" t="s">
        <v>892</v>
      </c>
      <c r="B31" s="122"/>
      <c r="C31" s="121">
        <v>120.45</v>
      </c>
      <c r="D31" s="121">
        <f t="shared" si="5"/>
        <v>0</v>
      </c>
      <c r="E31" s="91"/>
      <c r="F31" s="90"/>
      <c r="G31" s="163">
        <v>27</v>
      </c>
      <c r="H31" s="208">
        <f t="shared" si="6"/>
        <v>0</v>
      </c>
      <c r="I31" s="164" t="s">
        <v>890</v>
      </c>
      <c r="J31" s="158"/>
    </row>
    <row r="32" spans="1:13" ht="15.6" customHeight="1" thickBot="1" x14ac:dyDescent="0.35">
      <c r="A32" s="117" t="s">
        <v>893</v>
      </c>
      <c r="B32" s="122"/>
      <c r="C32" s="121">
        <v>163.18</v>
      </c>
      <c r="D32" s="121">
        <f t="shared" si="5"/>
        <v>0</v>
      </c>
      <c r="E32" s="91"/>
      <c r="F32" s="86"/>
      <c r="G32" s="163">
        <v>18</v>
      </c>
      <c r="H32" s="208">
        <f t="shared" si="6"/>
        <v>0</v>
      </c>
      <c r="I32" s="164" t="s">
        <v>891</v>
      </c>
      <c r="J32" s="158"/>
    </row>
    <row r="33" spans="1:10" ht="12.75" customHeight="1" thickBot="1" x14ac:dyDescent="0.35">
      <c r="A33" s="117" t="s">
        <v>894</v>
      </c>
      <c r="B33" s="122"/>
      <c r="C33" s="121">
        <v>10.1</v>
      </c>
      <c r="D33" s="121">
        <f t="shared" si="5"/>
        <v>0</v>
      </c>
      <c r="E33" s="91"/>
      <c r="G33" s="163">
        <v>31.5</v>
      </c>
      <c r="H33" s="208">
        <f t="shared" si="6"/>
        <v>0</v>
      </c>
      <c r="I33" s="167" t="s">
        <v>892</v>
      </c>
      <c r="J33" s="159"/>
    </row>
    <row r="34" spans="1:10" ht="15.75" customHeight="1" thickBot="1" x14ac:dyDescent="0.35">
      <c r="A34" s="117" t="s">
        <v>895</v>
      </c>
      <c r="B34" s="120"/>
      <c r="C34" s="121">
        <v>8.1</v>
      </c>
      <c r="D34" s="121">
        <f t="shared" si="5"/>
        <v>0</v>
      </c>
      <c r="E34" s="91"/>
      <c r="F34" s="87"/>
      <c r="G34" s="163">
        <v>40.5</v>
      </c>
      <c r="H34" s="208">
        <f t="shared" si="6"/>
        <v>0</v>
      </c>
      <c r="I34" s="168" t="s">
        <v>893</v>
      </c>
      <c r="J34" s="159"/>
    </row>
    <row r="35" spans="1:10" ht="15.75" customHeight="1" thickBot="1" x14ac:dyDescent="0.35">
      <c r="A35" s="117" t="s">
        <v>897</v>
      </c>
      <c r="B35" s="120"/>
      <c r="C35" s="121">
        <v>35</v>
      </c>
      <c r="D35" s="121">
        <f t="shared" si="5"/>
        <v>0</v>
      </c>
      <c r="E35" s="91"/>
      <c r="F35" s="87"/>
      <c r="G35" s="163"/>
      <c r="H35" s="208">
        <f t="shared" si="6"/>
        <v>0</v>
      </c>
      <c r="I35" s="168" t="s">
        <v>894</v>
      </c>
      <c r="J35" s="159"/>
    </row>
    <row r="36" spans="1:10" ht="15.75" customHeight="1" thickBot="1" x14ac:dyDescent="0.35">
      <c r="A36" s="117" t="s">
        <v>898</v>
      </c>
      <c r="B36" s="120"/>
      <c r="C36" s="121">
        <v>118</v>
      </c>
      <c r="D36" s="121">
        <f t="shared" si="5"/>
        <v>0</v>
      </c>
      <c r="E36" s="91"/>
      <c r="F36" s="87"/>
      <c r="G36" s="163"/>
      <c r="H36" s="208">
        <f t="shared" si="6"/>
        <v>0</v>
      </c>
      <c r="I36" s="168" t="s">
        <v>895</v>
      </c>
      <c r="J36" s="159"/>
    </row>
    <row r="37" spans="1:10" ht="14.25" customHeight="1" thickBot="1" x14ac:dyDescent="0.35">
      <c r="A37" s="117" t="s">
        <v>896</v>
      </c>
      <c r="B37" s="122"/>
      <c r="C37" s="121">
        <v>60.47</v>
      </c>
      <c r="D37" s="121">
        <f t="shared" si="5"/>
        <v>0</v>
      </c>
      <c r="E37" s="91"/>
      <c r="G37" s="163">
        <v>31.5</v>
      </c>
      <c r="H37" s="208">
        <f t="shared" si="6"/>
        <v>0</v>
      </c>
      <c r="I37" s="167" t="s">
        <v>897</v>
      </c>
      <c r="J37" s="159"/>
    </row>
    <row r="38" spans="1:10" ht="14.25" customHeight="1" thickBot="1" x14ac:dyDescent="0.35">
      <c r="A38" s="125"/>
      <c r="B38" s="370" t="s">
        <v>800</v>
      </c>
      <c r="C38" s="372"/>
      <c r="D38" s="127">
        <f>SUM(D26:D37)</f>
        <v>0</v>
      </c>
      <c r="E38" s="97"/>
      <c r="G38" s="163">
        <v>151.19999999999999</v>
      </c>
      <c r="H38" s="208">
        <f t="shared" si="6"/>
        <v>0</v>
      </c>
      <c r="I38" s="169" t="s">
        <v>898</v>
      </c>
      <c r="J38" s="160"/>
    </row>
    <row r="39" spans="1:10" ht="12.75" customHeight="1" thickBot="1" x14ac:dyDescent="0.35">
      <c r="A39" s="116" t="s">
        <v>802</v>
      </c>
      <c r="B39" s="119"/>
      <c r="C39" s="119"/>
      <c r="D39" s="119"/>
      <c r="E39" s="94"/>
      <c r="G39" s="173">
        <v>81</v>
      </c>
      <c r="H39" s="208">
        <f t="shared" si="6"/>
        <v>0</v>
      </c>
      <c r="I39" s="174" t="s">
        <v>896</v>
      </c>
      <c r="J39" s="160"/>
    </row>
    <row r="40" spans="1:10" ht="16.2" customHeight="1" thickTop="1" thickBot="1" x14ac:dyDescent="0.35">
      <c r="A40" s="133" t="s">
        <v>899</v>
      </c>
      <c r="B40" s="129">
        <v>1</v>
      </c>
      <c r="C40" s="130">
        <v>1500</v>
      </c>
      <c r="D40" s="130">
        <f>B40*C40</f>
        <v>1500</v>
      </c>
      <c r="E40" s="98"/>
      <c r="G40" s="175">
        <v>55</v>
      </c>
      <c r="H40" s="209">
        <f>G40*B79</f>
        <v>0</v>
      </c>
      <c r="I40" s="176" t="s">
        <v>912</v>
      </c>
      <c r="J40" s="161"/>
    </row>
    <row r="41" spans="1:10" ht="12.6" customHeight="1" thickBot="1" x14ac:dyDescent="0.35">
      <c r="A41" s="133" t="s">
        <v>900</v>
      </c>
      <c r="B41" s="131">
        <v>1</v>
      </c>
      <c r="C41" s="130">
        <v>2100</v>
      </c>
      <c r="D41" s="130">
        <f>B41*C41</f>
        <v>2100</v>
      </c>
      <c r="E41" s="98"/>
      <c r="G41" s="170"/>
      <c r="H41" s="210">
        <f t="shared" ref="H41:H48" si="7">G41*B80</f>
        <v>0</v>
      </c>
      <c r="I41" s="166" t="s">
        <v>913</v>
      </c>
      <c r="J41" s="102"/>
    </row>
    <row r="42" spans="1:10" ht="15" thickBot="1" x14ac:dyDescent="0.35">
      <c r="A42" s="373"/>
      <c r="B42" s="374" t="s">
        <v>801</v>
      </c>
      <c r="C42" s="374"/>
      <c r="D42" s="127">
        <f>SUM(D40:D41)</f>
        <v>3600</v>
      </c>
      <c r="E42" s="97"/>
      <c r="G42" s="171">
        <v>27</v>
      </c>
      <c r="H42" s="210">
        <f t="shared" si="7"/>
        <v>0</v>
      </c>
      <c r="I42" s="172" t="s">
        <v>914</v>
      </c>
      <c r="J42" s="160"/>
    </row>
    <row r="43" spans="1:10" ht="15" thickBot="1" x14ac:dyDescent="0.35">
      <c r="A43" s="373"/>
      <c r="B43" s="375" t="s">
        <v>803</v>
      </c>
      <c r="C43" s="375"/>
      <c r="D43" s="132">
        <f>D42+D38+D24+D18</f>
        <v>3600</v>
      </c>
      <c r="E43" s="99"/>
      <c r="G43" s="171">
        <v>18</v>
      </c>
      <c r="H43" s="210">
        <f t="shared" si="7"/>
        <v>0</v>
      </c>
      <c r="I43" s="172" t="s">
        <v>915</v>
      </c>
      <c r="J43" s="160"/>
    </row>
    <row r="44" spans="1:10" ht="15" thickBot="1" x14ac:dyDescent="0.35">
      <c r="A44" s="81"/>
      <c r="B44" s="83"/>
      <c r="C44" s="82"/>
      <c r="D44" s="84"/>
      <c r="E44" s="84"/>
      <c r="G44" s="171">
        <v>31.5</v>
      </c>
      <c r="H44" s="210">
        <f t="shared" si="7"/>
        <v>0</v>
      </c>
      <c r="I44" s="172" t="s">
        <v>916</v>
      </c>
      <c r="J44" s="160"/>
    </row>
    <row r="45" spans="1:10" ht="15" thickBot="1" x14ac:dyDescent="0.35">
      <c r="A45" s="388" t="s">
        <v>906</v>
      </c>
      <c r="B45" s="388"/>
      <c r="C45" s="388"/>
      <c r="D45" s="388"/>
      <c r="E45" s="82"/>
      <c r="F45" s="87"/>
      <c r="G45" s="171">
        <v>40.5</v>
      </c>
      <c r="H45" s="210">
        <f t="shared" si="7"/>
        <v>0</v>
      </c>
      <c r="I45" s="172" t="s">
        <v>917</v>
      </c>
      <c r="J45" s="160"/>
    </row>
    <row r="46" spans="1:10" ht="15" customHeight="1" thickBot="1" x14ac:dyDescent="0.35">
      <c r="A46" s="115" t="s">
        <v>871</v>
      </c>
      <c r="B46" s="115" t="s">
        <v>872</v>
      </c>
      <c r="C46" s="115" t="s">
        <v>873</v>
      </c>
      <c r="D46" s="115" t="s">
        <v>808</v>
      </c>
      <c r="E46" s="82"/>
      <c r="G46" s="171">
        <v>31.5</v>
      </c>
      <c r="H46" s="210">
        <f t="shared" si="7"/>
        <v>0</v>
      </c>
      <c r="I46" s="172" t="s">
        <v>918</v>
      </c>
      <c r="J46" s="160"/>
    </row>
    <row r="47" spans="1:10" ht="15" customHeight="1" thickBot="1" x14ac:dyDescent="0.35">
      <c r="A47" s="116" t="s">
        <v>901</v>
      </c>
      <c r="B47" s="119"/>
      <c r="C47" s="119"/>
      <c r="D47" s="119"/>
      <c r="E47" s="80"/>
      <c r="G47" s="171">
        <v>117</v>
      </c>
      <c r="H47" s="210">
        <f t="shared" si="7"/>
        <v>0</v>
      </c>
      <c r="I47" s="172" t="s">
        <v>919</v>
      </c>
      <c r="J47" s="160"/>
    </row>
    <row r="48" spans="1:10" ht="12" customHeight="1" thickBot="1" x14ac:dyDescent="0.35">
      <c r="A48" s="117" t="s">
        <v>882</v>
      </c>
      <c r="B48" s="122"/>
      <c r="C48" s="121">
        <v>250</v>
      </c>
      <c r="D48" s="126">
        <f>(B48*C48)</f>
        <v>0</v>
      </c>
      <c r="E48" s="85"/>
      <c r="G48" s="171">
        <v>27</v>
      </c>
      <c r="H48" s="211">
        <f t="shared" si="7"/>
        <v>0</v>
      </c>
      <c r="I48" s="172" t="s">
        <v>920</v>
      </c>
      <c r="J48" s="162"/>
    </row>
    <row r="49" spans="1:16" ht="15" thickBot="1" x14ac:dyDescent="0.35">
      <c r="A49" s="118" t="s">
        <v>883</v>
      </c>
      <c r="B49" s="122">
        <v>2</v>
      </c>
      <c r="C49" s="121">
        <v>90</v>
      </c>
      <c r="D49" s="126">
        <f t="shared" ref="D49:D50" si="8">(B49*C49)</f>
        <v>180</v>
      </c>
      <c r="G49" s="105"/>
      <c r="H49" s="212">
        <f>SUM(H28:H48)</f>
        <v>0</v>
      </c>
      <c r="I49" s="106" t="s">
        <v>930</v>
      </c>
      <c r="L49" s="368"/>
      <c r="M49" s="369"/>
      <c r="N49" s="369"/>
      <c r="O49" s="369"/>
      <c r="P49" s="387"/>
    </row>
    <row r="50" spans="1:16" ht="15" thickBot="1" x14ac:dyDescent="0.35">
      <c r="A50" s="117" t="s">
        <v>884</v>
      </c>
      <c r="B50" s="122"/>
      <c r="C50" s="121">
        <v>28</v>
      </c>
      <c r="D50" s="126">
        <f t="shared" si="8"/>
        <v>0</v>
      </c>
      <c r="I50" s="106"/>
      <c r="L50" s="368"/>
      <c r="M50" s="369"/>
      <c r="N50" s="369"/>
      <c r="O50" s="196"/>
      <c r="P50" s="197"/>
    </row>
    <row r="51" spans="1:16" ht="15" thickBot="1" x14ac:dyDescent="0.35">
      <c r="A51" s="117" t="s">
        <v>885</v>
      </c>
      <c r="B51" s="120"/>
      <c r="C51" s="121">
        <v>28</v>
      </c>
      <c r="D51" s="121">
        <f t="shared" ref="D51" si="9">+B51*C51</f>
        <v>0</v>
      </c>
      <c r="G51" s="178" t="s">
        <v>931</v>
      </c>
      <c r="H51" s="179"/>
      <c r="I51" s="102"/>
      <c r="J51" s="180"/>
      <c r="K51" s="180"/>
      <c r="L51" s="180"/>
      <c r="M51" s="181"/>
      <c r="N51" s="182"/>
      <c r="O51" s="180"/>
      <c r="P51" s="180"/>
    </row>
    <row r="52" spans="1:16" ht="15" thickBot="1" x14ac:dyDescent="0.35">
      <c r="A52" s="125"/>
      <c r="B52" s="393" t="s">
        <v>798</v>
      </c>
      <c r="C52" s="394"/>
      <c r="D52" s="134">
        <f>SUM(D48:D51)</f>
        <v>180</v>
      </c>
      <c r="E52" s="108"/>
      <c r="F52" s="108"/>
      <c r="G52" s="155"/>
      <c r="H52" s="156"/>
      <c r="I52" s="102"/>
      <c r="J52" s="183"/>
      <c r="K52" s="184"/>
      <c r="L52" s="111"/>
      <c r="M52" s="110"/>
      <c r="N52" s="110"/>
      <c r="O52" s="110"/>
      <c r="P52" s="110"/>
    </row>
    <row r="53" spans="1:16" ht="15" thickBot="1" x14ac:dyDescent="0.35">
      <c r="A53" s="116" t="s">
        <v>902</v>
      </c>
      <c r="B53" s="119"/>
      <c r="C53" s="119"/>
      <c r="D53" s="119"/>
      <c r="G53" s="163">
        <v>49</v>
      </c>
      <c r="H53" s="208">
        <f>G53*B51</f>
        <v>0</v>
      </c>
      <c r="I53" s="164" t="s">
        <v>932</v>
      </c>
      <c r="J53" s="185"/>
      <c r="K53" s="184"/>
      <c r="L53" s="110"/>
      <c r="M53" s="110"/>
      <c r="N53" s="110"/>
      <c r="O53" s="110"/>
      <c r="P53" s="110"/>
    </row>
    <row r="54" spans="1:16" ht="15" thickBot="1" x14ac:dyDescent="0.35">
      <c r="A54" s="117" t="s">
        <v>903</v>
      </c>
      <c r="B54" s="122">
        <v>1</v>
      </c>
      <c r="C54" s="121">
        <v>400</v>
      </c>
      <c r="D54" s="126">
        <f>(B54*C54)</f>
        <v>400</v>
      </c>
      <c r="E54" s="108"/>
      <c r="F54" s="108"/>
      <c r="G54" s="163">
        <v>120</v>
      </c>
      <c r="H54" s="208"/>
      <c r="I54" s="164" t="s">
        <v>933</v>
      </c>
      <c r="J54" s="184"/>
      <c r="K54" s="184"/>
      <c r="L54" s="110"/>
      <c r="M54" s="110"/>
      <c r="N54" s="110"/>
      <c r="O54" s="110"/>
      <c r="P54" s="110"/>
    </row>
    <row r="55" spans="1:16" ht="15" thickBot="1" x14ac:dyDescent="0.35">
      <c r="A55" s="137" t="s">
        <v>910</v>
      </c>
      <c r="B55" s="138">
        <v>1</v>
      </c>
      <c r="C55" s="139">
        <v>280</v>
      </c>
      <c r="D55" s="126">
        <f>(B55*C55)</f>
        <v>280</v>
      </c>
      <c r="E55" s="108"/>
      <c r="F55" s="108"/>
      <c r="G55" s="109"/>
      <c r="H55" s="212">
        <f>SUM(H53:H54)</f>
        <v>0</v>
      </c>
      <c r="I55" s="106" t="s">
        <v>930</v>
      </c>
    </row>
    <row r="56" spans="1:16" ht="15" thickBot="1" x14ac:dyDescent="0.35">
      <c r="A56" s="125"/>
      <c r="B56" s="370" t="s">
        <v>799</v>
      </c>
      <c r="C56" s="371"/>
      <c r="D56" s="135">
        <f>D54+D55</f>
        <v>680</v>
      </c>
      <c r="J56" s="186"/>
      <c r="K56" s="186"/>
      <c r="L56" s="186"/>
      <c r="M56" s="186"/>
      <c r="N56" s="186"/>
      <c r="O56" s="100"/>
      <c r="P56" s="100"/>
    </row>
    <row r="57" spans="1:16" ht="15" thickBot="1" x14ac:dyDescent="0.35">
      <c r="A57" s="116" t="s">
        <v>886</v>
      </c>
      <c r="B57" s="119"/>
      <c r="C57" s="119"/>
      <c r="D57" s="119"/>
      <c r="J57" s="187"/>
      <c r="K57" s="188"/>
      <c r="L57" s="188"/>
      <c r="M57" s="188"/>
      <c r="N57" s="188"/>
      <c r="O57" s="100"/>
      <c r="P57" s="100"/>
    </row>
    <row r="58" spans="1:16" ht="15" thickBot="1" x14ac:dyDescent="0.35">
      <c r="A58" s="117" t="s">
        <v>904</v>
      </c>
      <c r="B58" s="120">
        <v>1</v>
      </c>
      <c r="C58" s="121">
        <v>50</v>
      </c>
      <c r="D58" s="121">
        <f t="shared" ref="D58:D59" si="10">+B58*C58</f>
        <v>50</v>
      </c>
      <c r="G58" s="106"/>
      <c r="J58" s="397" t="s">
        <v>826</v>
      </c>
      <c r="K58" s="398"/>
      <c r="L58" s="398"/>
      <c r="M58" s="196"/>
      <c r="N58" s="197"/>
    </row>
    <row r="59" spans="1:16" ht="15" thickBot="1" x14ac:dyDescent="0.35">
      <c r="A59" s="117" t="s">
        <v>905</v>
      </c>
      <c r="B59" s="122"/>
      <c r="C59" s="121">
        <v>120</v>
      </c>
      <c r="D59" s="121">
        <f t="shared" si="10"/>
        <v>0</v>
      </c>
      <c r="G59" s="102"/>
      <c r="H59" s="200" t="s">
        <v>821</v>
      </c>
      <c r="I59" s="200" t="s">
        <v>809</v>
      </c>
      <c r="J59" s="200" t="s">
        <v>823</v>
      </c>
      <c r="K59" s="201" t="s">
        <v>824</v>
      </c>
      <c r="L59" s="202" t="s">
        <v>825</v>
      </c>
      <c r="M59" s="180"/>
      <c r="N59" s="180"/>
      <c r="O59" s="189" t="s">
        <v>808</v>
      </c>
    </row>
    <row r="60" spans="1:16" ht="15" thickBot="1" x14ac:dyDescent="0.35">
      <c r="A60" s="125"/>
      <c r="B60" s="370" t="s">
        <v>800</v>
      </c>
      <c r="C60" s="372"/>
      <c r="D60" s="127">
        <f>SUM(D58:D59)</f>
        <v>50</v>
      </c>
      <c r="G60" s="177" t="s">
        <v>820</v>
      </c>
      <c r="H60" s="193">
        <v>3</v>
      </c>
      <c r="I60" s="194">
        <f>SUM(J60:N60)</f>
        <v>16.5</v>
      </c>
      <c r="J60" s="110"/>
      <c r="K60" s="111">
        <v>14.5</v>
      </c>
      <c r="L60" s="111">
        <v>2</v>
      </c>
      <c r="M60" s="110"/>
      <c r="N60" s="110"/>
      <c r="O60" s="191"/>
    </row>
    <row r="61" spans="1:16" ht="15" thickBot="1" x14ac:dyDescent="0.35">
      <c r="A61" s="116" t="s">
        <v>802</v>
      </c>
      <c r="B61" s="119"/>
      <c r="C61" s="119"/>
      <c r="D61" s="119"/>
      <c r="G61" s="192" t="s">
        <v>827</v>
      </c>
      <c r="H61" s="195">
        <v>3</v>
      </c>
      <c r="I61" s="194">
        <f>(H61*7)</f>
        <v>21</v>
      </c>
      <c r="J61" s="110"/>
      <c r="K61" s="110"/>
      <c r="L61" s="110"/>
      <c r="M61" s="110"/>
      <c r="N61" s="110"/>
    </row>
    <row r="62" spans="1:16" ht="15" thickBot="1" x14ac:dyDescent="0.35">
      <c r="A62" s="133" t="s">
        <v>899</v>
      </c>
      <c r="B62" s="129">
        <v>1</v>
      </c>
      <c r="C62" s="130">
        <v>300</v>
      </c>
      <c r="D62" s="130">
        <f>B62*C62</f>
        <v>300</v>
      </c>
      <c r="G62" s="192" t="s">
        <v>807</v>
      </c>
      <c r="H62" s="194">
        <v>0</v>
      </c>
      <c r="I62" s="194">
        <f>(H62*7)</f>
        <v>0</v>
      </c>
      <c r="J62" s="110"/>
      <c r="K62" s="110"/>
      <c r="L62" s="110"/>
      <c r="M62" s="110"/>
      <c r="N62" s="110"/>
      <c r="O62" s="196"/>
      <c r="P62" s="87"/>
    </row>
    <row r="63" spans="1:16" ht="15" thickBot="1" x14ac:dyDescent="0.35">
      <c r="A63" s="133" t="s">
        <v>900</v>
      </c>
      <c r="B63" s="131">
        <v>0</v>
      </c>
      <c r="C63" s="130">
        <v>90</v>
      </c>
      <c r="D63" s="130">
        <f>B63*C63</f>
        <v>0</v>
      </c>
      <c r="G63" s="107"/>
      <c r="O63" s="180"/>
    </row>
    <row r="64" spans="1:16" ht="15" thickBot="1" x14ac:dyDescent="0.35">
      <c r="A64" s="373"/>
      <c r="B64" s="374" t="s">
        <v>801</v>
      </c>
      <c r="C64" s="374"/>
      <c r="D64" s="127">
        <f>D62+D63</f>
        <v>300</v>
      </c>
      <c r="H64" s="203" t="s">
        <v>813</v>
      </c>
      <c r="I64" s="203" t="s">
        <v>934</v>
      </c>
      <c r="J64" s="203" t="s">
        <v>937</v>
      </c>
      <c r="K64" s="203" t="s">
        <v>936</v>
      </c>
      <c r="L64" s="203" t="s">
        <v>806</v>
      </c>
      <c r="M64" s="100"/>
      <c r="N64" s="100"/>
      <c r="O64" s="110"/>
    </row>
    <row r="65" spans="1:16" ht="15" thickBot="1" x14ac:dyDescent="0.35">
      <c r="A65" s="373"/>
      <c r="B65" s="375" t="s">
        <v>803</v>
      </c>
      <c r="C65" s="375"/>
      <c r="D65" s="132">
        <f>D64+D60+D56+D52</f>
        <v>1210</v>
      </c>
      <c r="H65" s="214">
        <f>((100*2)*0.09*1.8)*H60</f>
        <v>97.199999999999989</v>
      </c>
      <c r="I65" s="215">
        <f>28.7+14.35</f>
        <v>43.05</v>
      </c>
      <c r="J65" s="215">
        <f>(3.5*0)</f>
        <v>0</v>
      </c>
      <c r="K65" s="215">
        <f>(15*0)</f>
        <v>0</v>
      </c>
      <c r="L65" s="215">
        <f>(60*0)</f>
        <v>0</v>
      </c>
      <c r="M65" s="100"/>
      <c r="N65" s="100"/>
      <c r="O65" s="110"/>
    </row>
    <row r="66" spans="1:16" x14ac:dyDescent="0.3">
      <c r="D66" s="87"/>
      <c r="O66" s="110"/>
      <c r="P66" s="87"/>
    </row>
    <row r="67" spans="1:16" ht="15" thickBot="1" x14ac:dyDescent="0.35">
      <c r="G67" s="205" t="s">
        <v>828</v>
      </c>
      <c r="H67" s="200" t="s">
        <v>818</v>
      </c>
      <c r="I67" s="200" t="s">
        <v>816</v>
      </c>
      <c r="J67" s="200" t="s">
        <v>817</v>
      </c>
      <c r="K67" s="200" t="s">
        <v>822</v>
      </c>
      <c r="L67" s="200" t="s">
        <v>829</v>
      </c>
      <c r="M67" s="206" t="s">
        <v>808</v>
      </c>
    </row>
    <row r="68" spans="1:16" ht="15" thickBot="1" x14ac:dyDescent="0.35">
      <c r="A68" s="388" t="s">
        <v>907</v>
      </c>
      <c r="B68" s="388"/>
      <c r="C68" s="388"/>
      <c r="D68" s="388"/>
      <c r="G68" s="103" t="s">
        <v>938</v>
      </c>
      <c r="H68" s="112">
        <f>D43</f>
        <v>3600</v>
      </c>
      <c r="I68" s="112">
        <f>(I60+I61+I62)*61.4</f>
        <v>2302.5</v>
      </c>
      <c r="J68" s="104">
        <f>(I65+J65+K65+L65)</f>
        <v>43.05</v>
      </c>
      <c r="K68" s="112">
        <f>(H65)</f>
        <v>97.199999999999989</v>
      </c>
      <c r="L68" s="220">
        <f>H55+H49+H24</f>
        <v>1</v>
      </c>
      <c r="M68" s="224">
        <f>(I68+J68+K68+L68)</f>
        <v>2443.75</v>
      </c>
      <c r="O68" s="100"/>
    </row>
    <row r="69" spans="1:16" ht="15" thickBot="1" x14ac:dyDescent="0.35">
      <c r="A69" s="115" t="s">
        <v>871</v>
      </c>
      <c r="B69" s="115" t="s">
        <v>872</v>
      </c>
      <c r="C69" s="115" t="s">
        <v>873</v>
      </c>
      <c r="D69" s="115" t="s">
        <v>808</v>
      </c>
      <c r="G69" s="216" t="s">
        <v>939</v>
      </c>
      <c r="H69" s="218">
        <f>D65</f>
        <v>1210</v>
      </c>
      <c r="I69" s="218">
        <f>(I60+I61+I62)*61.4</f>
        <v>2302.5</v>
      </c>
      <c r="J69" s="187">
        <f>I65</f>
        <v>43.05</v>
      </c>
      <c r="K69" s="188">
        <f>H65</f>
        <v>97.199999999999989</v>
      </c>
      <c r="L69" s="221">
        <f>H24+H49+H55</f>
        <v>1</v>
      </c>
      <c r="M69" s="224">
        <f>SUM(I69:L69)</f>
        <v>2443.75</v>
      </c>
      <c r="N69" s="188"/>
      <c r="O69" s="100"/>
    </row>
    <row r="70" spans="1:16" ht="15" thickBot="1" x14ac:dyDescent="0.35">
      <c r="A70" s="116"/>
      <c r="B70" s="119"/>
      <c r="C70" s="119"/>
      <c r="D70" s="119"/>
      <c r="G70" s="100" t="s">
        <v>940</v>
      </c>
      <c r="H70" s="218">
        <f>D93</f>
        <v>3681</v>
      </c>
      <c r="I70" s="218">
        <f>(I60+I61+I62)*61.4</f>
        <v>2302.5</v>
      </c>
      <c r="J70" s="218">
        <f>I65+J65+K65+L65</f>
        <v>43.05</v>
      </c>
      <c r="K70" s="218">
        <f>H65</f>
        <v>97.199999999999989</v>
      </c>
      <c r="L70" s="222">
        <f>H55+H49+H24</f>
        <v>1</v>
      </c>
      <c r="M70" s="225">
        <f>SUM(I70:L70)</f>
        <v>2443.75</v>
      </c>
    </row>
    <row r="71" spans="1:16" ht="15" thickBot="1" x14ac:dyDescent="0.35">
      <c r="A71" s="117" t="s">
        <v>908</v>
      </c>
      <c r="B71" s="120">
        <v>1</v>
      </c>
      <c r="C71" s="121">
        <v>51</v>
      </c>
      <c r="D71" s="121">
        <f>(B71*C71)</f>
        <v>51</v>
      </c>
      <c r="G71" s="100" t="s">
        <v>941</v>
      </c>
      <c r="H71" s="218">
        <f>D93+D43</f>
        <v>7281</v>
      </c>
      <c r="I71" s="112">
        <f>(I60+I61+I62)*61.4</f>
        <v>2302.5</v>
      </c>
      <c r="J71" s="112">
        <f>I65+J65+K65+L65</f>
        <v>43.05</v>
      </c>
      <c r="K71" s="104">
        <f>H65</f>
        <v>97.199999999999989</v>
      </c>
      <c r="L71" s="223">
        <f>H24+H49+H55</f>
        <v>1</v>
      </c>
      <c r="M71" s="226">
        <f>SUM(I71:L71)</f>
        <v>2443.75</v>
      </c>
      <c r="N71" s="180"/>
      <c r="O71" s="189"/>
    </row>
    <row r="72" spans="1:16" ht="15" thickBot="1" x14ac:dyDescent="0.35">
      <c r="A72" s="118" t="s">
        <v>909</v>
      </c>
      <c r="B72" s="120">
        <v>1</v>
      </c>
      <c r="C72" s="121">
        <v>30</v>
      </c>
      <c r="D72" s="121">
        <f t="shared" ref="D72:D73" si="11">+B72*C72</f>
        <v>30</v>
      </c>
      <c r="G72" s="100"/>
      <c r="H72" s="217"/>
      <c r="I72" s="219"/>
      <c r="J72" s="104"/>
      <c r="K72" s="157"/>
      <c r="L72" s="104"/>
      <c r="M72" s="157"/>
      <c r="N72" s="190"/>
      <c r="O72" s="191"/>
    </row>
    <row r="73" spans="1:16" ht="15" thickBot="1" x14ac:dyDescent="0.35">
      <c r="A73" s="117" t="s">
        <v>911</v>
      </c>
      <c r="B73" s="120"/>
      <c r="C73" s="121">
        <v>180</v>
      </c>
      <c r="D73" s="121">
        <f t="shared" si="11"/>
        <v>0</v>
      </c>
      <c r="I73" s="89"/>
    </row>
    <row r="74" spans="1:16" ht="15" thickBot="1" x14ac:dyDescent="0.35">
      <c r="A74" s="125"/>
      <c r="B74" s="370" t="s">
        <v>798</v>
      </c>
      <c r="C74" s="371"/>
      <c r="D74" s="136">
        <f>SUM(D71:D73)</f>
        <v>81</v>
      </c>
      <c r="I74" s="89"/>
    </row>
    <row r="75" spans="1:16" ht="15" thickBot="1" x14ac:dyDescent="0.35">
      <c r="A75" s="116" t="s">
        <v>886</v>
      </c>
      <c r="B75" s="119"/>
      <c r="C75" s="119"/>
      <c r="D75" s="119"/>
      <c r="I75" s="89"/>
    </row>
    <row r="76" spans="1:16" ht="15" thickBot="1" x14ac:dyDescent="0.35">
      <c r="A76" s="117" t="s">
        <v>887</v>
      </c>
      <c r="B76" s="120"/>
      <c r="C76" s="121">
        <v>5.93</v>
      </c>
      <c r="D76" s="121">
        <f t="shared" ref="D76:D87" si="12">+B76*C76</f>
        <v>0</v>
      </c>
    </row>
    <row r="77" spans="1:16" ht="15" thickBot="1" x14ac:dyDescent="0.35">
      <c r="A77" s="117" t="s">
        <v>888</v>
      </c>
      <c r="B77" s="122"/>
      <c r="C77" s="121">
        <v>26.08</v>
      </c>
      <c r="D77" s="121">
        <f t="shared" si="12"/>
        <v>0</v>
      </c>
    </row>
    <row r="78" spans="1:16" ht="15" thickBot="1" x14ac:dyDescent="0.35">
      <c r="A78" s="117" t="s">
        <v>889</v>
      </c>
      <c r="B78" s="122"/>
      <c r="C78" s="121">
        <v>27.76</v>
      </c>
      <c r="D78" s="121">
        <f t="shared" si="12"/>
        <v>0</v>
      </c>
    </row>
    <row r="79" spans="1:16" ht="15" thickBot="1" x14ac:dyDescent="0.35">
      <c r="A79" s="128" t="s">
        <v>912</v>
      </c>
      <c r="B79" s="122"/>
      <c r="C79" s="121">
        <v>30.65</v>
      </c>
      <c r="D79" s="121">
        <f t="shared" si="12"/>
        <v>0</v>
      </c>
    </row>
    <row r="80" spans="1:16" ht="15" thickBot="1" x14ac:dyDescent="0.35">
      <c r="A80" s="117" t="s">
        <v>913</v>
      </c>
      <c r="B80" s="122"/>
      <c r="C80" s="121">
        <v>30.88</v>
      </c>
      <c r="D80" s="121">
        <f t="shared" si="12"/>
        <v>0</v>
      </c>
    </row>
    <row r="81" spans="1:4" ht="15" thickBot="1" x14ac:dyDescent="0.35">
      <c r="A81" s="117" t="s">
        <v>914</v>
      </c>
      <c r="B81" s="122"/>
      <c r="C81" s="121">
        <v>36.75</v>
      </c>
      <c r="D81" s="121">
        <f t="shared" si="12"/>
        <v>0</v>
      </c>
    </row>
    <row r="82" spans="1:4" ht="15" thickBot="1" x14ac:dyDescent="0.35">
      <c r="A82" s="117" t="s">
        <v>915</v>
      </c>
      <c r="B82" s="122"/>
      <c r="C82" s="121">
        <v>43.92</v>
      </c>
      <c r="D82" s="121">
        <f t="shared" si="12"/>
        <v>0</v>
      </c>
    </row>
    <row r="83" spans="1:4" ht="15" thickBot="1" x14ac:dyDescent="0.35">
      <c r="A83" s="117" t="s">
        <v>916</v>
      </c>
      <c r="B83" s="122"/>
      <c r="C83" s="121">
        <v>70</v>
      </c>
      <c r="D83" s="121">
        <f t="shared" si="12"/>
        <v>0</v>
      </c>
    </row>
    <row r="84" spans="1:4" ht="15" thickBot="1" x14ac:dyDescent="0.35">
      <c r="A84" s="117" t="s">
        <v>917</v>
      </c>
      <c r="B84" s="120"/>
      <c r="C84" s="121">
        <v>115</v>
      </c>
      <c r="D84" s="121">
        <f t="shared" si="12"/>
        <v>0</v>
      </c>
    </row>
    <row r="85" spans="1:4" ht="15" thickBot="1" x14ac:dyDescent="0.35">
      <c r="A85" s="117" t="s">
        <v>918</v>
      </c>
      <c r="B85" s="120"/>
      <c r="C85" s="121">
        <v>35</v>
      </c>
      <c r="D85" s="121">
        <f t="shared" si="12"/>
        <v>0</v>
      </c>
    </row>
    <row r="86" spans="1:4" ht="15" thickBot="1" x14ac:dyDescent="0.35">
      <c r="A86" s="117" t="s">
        <v>919</v>
      </c>
      <c r="B86" s="120"/>
      <c r="C86" s="121">
        <v>50.78</v>
      </c>
      <c r="D86" s="121">
        <f t="shared" si="12"/>
        <v>0</v>
      </c>
    </row>
    <row r="87" spans="1:4" ht="15" thickBot="1" x14ac:dyDescent="0.35">
      <c r="A87" s="117" t="s">
        <v>920</v>
      </c>
      <c r="B87" s="122"/>
      <c r="C87" s="121">
        <v>125</v>
      </c>
      <c r="D87" s="121">
        <f t="shared" si="12"/>
        <v>0</v>
      </c>
    </row>
    <row r="88" spans="1:4" ht="15" thickBot="1" x14ac:dyDescent="0.35">
      <c r="A88" s="125"/>
      <c r="B88" s="370" t="s">
        <v>799</v>
      </c>
      <c r="C88" s="372"/>
      <c r="D88" s="127">
        <f>SUM(D76:D87)</f>
        <v>0</v>
      </c>
    </row>
    <row r="89" spans="1:4" ht="15" thickBot="1" x14ac:dyDescent="0.35">
      <c r="A89" s="116" t="s">
        <v>802</v>
      </c>
      <c r="B89" s="119"/>
      <c r="C89" s="119"/>
      <c r="D89" s="119"/>
    </row>
    <row r="90" spans="1:4" ht="15" thickBot="1" x14ac:dyDescent="0.35">
      <c r="A90" s="133" t="s">
        <v>899</v>
      </c>
      <c r="B90" s="129">
        <v>1</v>
      </c>
      <c r="C90" s="130">
        <v>1500</v>
      </c>
      <c r="D90" s="130">
        <f>B90*C90</f>
        <v>1500</v>
      </c>
    </row>
    <row r="91" spans="1:4" ht="15" thickBot="1" x14ac:dyDescent="0.35">
      <c r="A91" s="133" t="s">
        <v>921</v>
      </c>
      <c r="B91" s="131">
        <v>1</v>
      </c>
      <c r="C91" s="130">
        <v>2100</v>
      </c>
      <c r="D91" s="130">
        <f>B91*C91</f>
        <v>2100</v>
      </c>
    </row>
    <row r="92" spans="1:4" ht="15" thickBot="1" x14ac:dyDescent="0.35">
      <c r="A92" s="373"/>
      <c r="B92" s="374" t="s">
        <v>800</v>
      </c>
      <c r="C92" s="374"/>
      <c r="D92" s="127">
        <f>SUM(D90:D91)</f>
        <v>3600</v>
      </c>
    </row>
    <row r="93" spans="1:4" ht="15" thickBot="1" x14ac:dyDescent="0.35">
      <c r="A93" s="373"/>
      <c r="B93" s="375" t="s">
        <v>803</v>
      </c>
      <c r="C93" s="375"/>
      <c r="D93" s="132">
        <f>D92+D88+D74</f>
        <v>3681</v>
      </c>
    </row>
  </sheetData>
  <mergeCells count="24">
    <mergeCell ref="A42:A43"/>
    <mergeCell ref="B42:C42"/>
    <mergeCell ref="B43:C43"/>
    <mergeCell ref="A1:D1"/>
    <mergeCell ref="G2:H2"/>
    <mergeCell ref="B18:C18"/>
    <mergeCell ref="B24:C24"/>
    <mergeCell ref="B38:C38"/>
    <mergeCell ref="A45:D45"/>
    <mergeCell ref="L49:P49"/>
    <mergeCell ref="L50:N50"/>
    <mergeCell ref="B52:C52"/>
    <mergeCell ref="B56:C56"/>
    <mergeCell ref="B88:C88"/>
    <mergeCell ref="A92:A93"/>
    <mergeCell ref="B92:C92"/>
    <mergeCell ref="B93:C93"/>
    <mergeCell ref="J58:L58"/>
    <mergeCell ref="A64:A65"/>
    <mergeCell ref="B64:C64"/>
    <mergeCell ref="B65:C65"/>
    <mergeCell ref="A68:D68"/>
    <mergeCell ref="B74:C74"/>
    <mergeCell ref="B60:C60"/>
  </mergeCells>
  <pageMargins left="0.7" right="0.7" top="0.75" bottom="0.75" header="0.3" footer="0.3"/>
  <pageSetup paperSize="9" orientation="portrait" horizontalDpi="30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D8AA8-1556-446B-A8F8-CB5EDF5FB0CF}">
  <sheetPr>
    <tabColor theme="5" tint="0.39997558519241921"/>
  </sheetPr>
  <dimension ref="A1:E152"/>
  <sheetViews>
    <sheetView topLeftCell="A73" workbookViewId="0">
      <selection activeCell="C10" sqref="C10"/>
    </sheetView>
  </sheetViews>
  <sheetFormatPr baseColWidth="10" defaultRowHeight="14.4" x14ac:dyDescent="0.3"/>
  <cols>
    <col min="1" max="1" width="19.44140625" customWidth="1"/>
    <col min="2" max="2" width="36.109375" bestFit="1" customWidth="1"/>
    <col min="3" max="3" width="78.5546875" bestFit="1" customWidth="1"/>
    <col min="4" max="4" width="44" bestFit="1" customWidth="1"/>
    <col min="5" max="5" width="77.5546875" bestFit="1" customWidth="1"/>
  </cols>
  <sheetData>
    <row r="1" spans="1:5" x14ac:dyDescent="0.3">
      <c r="A1" s="18" t="s">
        <v>152</v>
      </c>
      <c r="B1" s="18" t="s">
        <v>421</v>
      </c>
      <c r="C1" s="18" t="s">
        <v>422</v>
      </c>
      <c r="D1" s="18" t="s">
        <v>694</v>
      </c>
      <c r="E1" s="18" t="s">
        <v>695</v>
      </c>
    </row>
    <row r="2" spans="1:5" x14ac:dyDescent="0.3">
      <c r="A2" s="6" t="s">
        <v>1</v>
      </c>
      <c r="B2" s="8" t="s">
        <v>153</v>
      </c>
      <c r="C2" s="9" t="s">
        <v>154</v>
      </c>
      <c r="D2" s="14" t="s">
        <v>423</v>
      </c>
      <c r="E2" s="9" t="s">
        <v>424</v>
      </c>
    </row>
    <row r="3" spans="1:5" x14ac:dyDescent="0.3">
      <c r="A3" s="6" t="s">
        <v>2</v>
      </c>
      <c r="B3" s="8" t="s">
        <v>155</v>
      </c>
      <c r="C3" s="9" t="s">
        <v>156</v>
      </c>
      <c r="D3" s="14" t="s">
        <v>425</v>
      </c>
      <c r="E3" s="9" t="s">
        <v>426</v>
      </c>
    </row>
    <row r="4" spans="1:5" x14ac:dyDescent="0.3">
      <c r="A4" s="6" t="s">
        <v>3</v>
      </c>
      <c r="B4" s="8" t="s">
        <v>157</v>
      </c>
      <c r="C4" s="10" t="s">
        <v>158</v>
      </c>
      <c r="D4" s="7" t="s">
        <v>427</v>
      </c>
      <c r="E4" s="10" t="s">
        <v>428</v>
      </c>
    </row>
    <row r="5" spans="1:5" x14ac:dyDescent="0.3">
      <c r="A5" s="6" t="s">
        <v>4</v>
      </c>
      <c r="B5" s="8" t="s">
        <v>159</v>
      </c>
      <c r="C5" s="10" t="s">
        <v>160</v>
      </c>
      <c r="D5" s="7" t="s">
        <v>429</v>
      </c>
      <c r="E5" s="10" t="s">
        <v>430</v>
      </c>
    </row>
    <row r="6" spans="1:5" x14ac:dyDescent="0.3">
      <c r="A6" s="6" t="s">
        <v>5</v>
      </c>
      <c r="B6" s="8" t="s">
        <v>161</v>
      </c>
      <c r="C6" s="11" t="s">
        <v>162</v>
      </c>
      <c r="D6" s="15" t="s">
        <v>431</v>
      </c>
      <c r="E6" s="11" t="s">
        <v>432</v>
      </c>
    </row>
    <row r="7" spans="1:5" x14ac:dyDescent="0.3">
      <c r="A7" s="6" t="s">
        <v>6</v>
      </c>
      <c r="B7" s="8" t="s">
        <v>163</v>
      </c>
      <c r="C7" s="11" t="s">
        <v>163</v>
      </c>
      <c r="D7" s="15" t="s">
        <v>433</v>
      </c>
      <c r="E7" s="11" t="s">
        <v>434</v>
      </c>
    </row>
    <row r="8" spans="1:5" x14ac:dyDescent="0.3">
      <c r="A8" s="7" t="s">
        <v>7</v>
      </c>
      <c r="B8" s="8" t="s">
        <v>164</v>
      </c>
      <c r="C8" s="12" t="s">
        <v>165</v>
      </c>
      <c r="D8" s="16" t="s">
        <v>435</v>
      </c>
      <c r="E8" s="12" t="s">
        <v>436</v>
      </c>
    </row>
    <row r="9" spans="1:5" x14ac:dyDescent="0.3">
      <c r="A9" s="7" t="s">
        <v>8</v>
      </c>
      <c r="B9" s="8" t="s">
        <v>166</v>
      </c>
      <c r="C9" s="12" t="s">
        <v>167</v>
      </c>
      <c r="D9" s="16" t="s">
        <v>437</v>
      </c>
      <c r="E9" s="12" t="s">
        <v>438</v>
      </c>
    </row>
    <row r="10" spans="1:5" x14ac:dyDescent="0.3">
      <c r="A10" s="7" t="s">
        <v>9</v>
      </c>
      <c r="B10" s="8" t="s">
        <v>168</v>
      </c>
      <c r="C10" s="11" t="s">
        <v>169</v>
      </c>
      <c r="D10" s="15" t="s">
        <v>439</v>
      </c>
      <c r="E10" s="11" t="s">
        <v>440</v>
      </c>
    </row>
    <row r="11" spans="1:5" x14ac:dyDescent="0.3">
      <c r="A11" s="7" t="s">
        <v>10</v>
      </c>
      <c r="B11" s="8" t="s">
        <v>170</v>
      </c>
      <c r="C11" s="11" t="s">
        <v>171</v>
      </c>
      <c r="D11" s="15" t="s">
        <v>441</v>
      </c>
      <c r="E11" s="11" t="s">
        <v>442</v>
      </c>
    </row>
    <row r="12" spans="1:5" x14ac:dyDescent="0.3">
      <c r="A12" s="7" t="s">
        <v>11</v>
      </c>
      <c r="B12" s="8" t="s">
        <v>172</v>
      </c>
      <c r="C12" s="11" t="s">
        <v>173</v>
      </c>
      <c r="D12" s="15" t="s">
        <v>443</v>
      </c>
      <c r="E12" s="11" t="s">
        <v>444</v>
      </c>
    </row>
    <row r="13" spans="1:5" x14ac:dyDescent="0.3">
      <c r="A13" s="7" t="s">
        <v>12</v>
      </c>
      <c r="B13" s="8" t="s">
        <v>174</v>
      </c>
      <c r="C13" s="11" t="s">
        <v>175</v>
      </c>
      <c r="D13" s="15" t="s">
        <v>445</v>
      </c>
      <c r="E13" s="11" t="s">
        <v>446</v>
      </c>
    </row>
    <row r="14" spans="1:5" x14ac:dyDescent="0.3">
      <c r="A14" s="7" t="s">
        <v>13</v>
      </c>
      <c r="B14" s="8" t="s">
        <v>176</v>
      </c>
      <c r="C14" s="11" t="s">
        <v>176</v>
      </c>
      <c r="D14" s="15" t="s">
        <v>447</v>
      </c>
      <c r="E14" s="11" t="s">
        <v>447</v>
      </c>
    </row>
    <row r="15" spans="1:5" x14ac:dyDescent="0.3">
      <c r="A15" s="7" t="s">
        <v>14</v>
      </c>
      <c r="B15" s="8" t="s">
        <v>177</v>
      </c>
      <c r="C15" s="11" t="s">
        <v>178</v>
      </c>
      <c r="D15" s="15" t="s">
        <v>448</v>
      </c>
      <c r="E15" s="11" t="s">
        <v>449</v>
      </c>
    </row>
    <row r="16" spans="1:5" x14ac:dyDescent="0.3">
      <c r="A16" s="7" t="s">
        <v>15</v>
      </c>
      <c r="B16" s="8" t="s">
        <v>179</v>
      </c>
      <c r="C16" s="10" t="s">
        <v>180</v>
      </c>
      <c r="D16" s="7" t="s">
        <v>450</v>
      </c>
      <c r="E16" s="10" t="s">
        <v>451</v>
      </c>
    </row>
    <row r="17" spans="1:5" x14ac:dyDescent="0.3">
      <c r="A17" s="7" t="s">
        <v>16</v>
      </c>
      <c r="B17" s="8" t="s">
        <v>181</v>
      </c>
      <c r="C17" s="10" t="s">
        <v>182</v>
      </c>
      <c r="D17" s="7" t="s">
        <v>452</v>
      </c>
      <c r="E17" s="10" t="s">
        <v>453</v>
      </c>
    </row>
    <row r="18" spans="1:5" x14ac:dyDescent="0.3">
      <c r="A18" s="7" t="s">
        <v>17</v>
      </c>
      <c r="B18" s="8" t="s">
        <v>183</v>
      </c>
      <c r="C18" s="10" t="s">
        <v>184</v>
      </c>
      <c r="D18" s="15" t="s">
        <v>454</v>
      </c>
      <c r="E18" s="10" t="s">
        <v>455</v>
      </c>
    </row>
    <row r="19" spans="1:5" x14ac:dyDescent="0.3">
      <c r="A19" s="7" t="s">
        <v>18</v>
      </c>
      <c r="B19" s="8" t="s">
        <v>185</v>
      </c>
      <c r="C19" s="10" t="s">
        <v>186</v>
      </c>
      <c r="D19" s="15" t="s">
        <v>456</v>
      </c>
      <c r="E19" s="10" t="s">
        <v>457</v>
      </c>
    </row>
    <row r="20" spans="1:5" x14ac:dyDescent="0.3">
      <c r="A20" s="7" t="s">
        <v>19</v>
      </c>
      <c r="B20" s="8" t="s">
        <v>187</v>
      </c>
      <c r="C20" s="10" t="s">
        <v>188</v>
      </c>
      <c r="D20" s="15" t="s">
        <v>458</v>
      </c>
      <c r="E20" s="10" t="s">
        <v>459</v>
      </c>
    </row>
    <row r="21" spans="1:5" x14ac:dyDescent="0.3">
      <c r="A21" s="7" t="s">
        <v>20</v>
      </c>
      <c r="B21" s="8" t="s">
        <v>189</v>
      </c>
      <c r="C21" s="10" t="s">
        <v>190</v>
      </c>
      <c r="D21" s="15" t="s">
        <v>460</v>
      </c>
      <c r="E21" s="10" t="s">
        <v>461</v>
      </c>
    </row>
    <row r="22" spans="1:5" x14ac:dyDescent="0.3">
      <c r="A22" s="7" t="s">
        <v>21</v>
      </c>
      <c r="B22" s="8" t="s">
        <v>191</v>
      </c>
      <c r="C22" s="10" t="s">
        <v>192</v>
      </c>
      <c r="D22" s="15" t="s">
        <v>462</v>
      </c>
      <c r="E22" s="10" t="s">
        <v>463</v>
      </c>
    </row>
    <row r="23" spans="1:5" x14ac:dyDescent="0.3">
      <c r="A23" s="7" t="s">
        <v>22</v>
      </c>
      <c r="B23" s="8" t="s">
        <v>193</v>
      </c>
      <c r="C23" s="10" t="s">
        <v>194</v>
      </c>
      <c r="D23" s="15" t="s">
        <v>464</v>
      </c>
      <c r="E23" s="10" t="s">
        <v>465</v>
      </c>
    </row>
    <row r="24" spans="1:5" x14ac:dyDescent="0.3">
      <c r="A24" s="7" t="s">
        <v>23</v>
      </c>
      <c r="B24" s="8" t="s">
        <v>195</v>
      </c>
      <c r="C24" s="10" t="s">
        <v>196</v>
      </c>
      <c r="D24" s="15" t="s">
        <v>466</v>
      </c>
      <c r="E24" s="10" t="s">
        <v>467</v>
      </c>
    </row>
    <row r="25" spans="1:5" x14ac:dyDescent="0.3">
      <c r="A25" s="7" t="s">
        <v>24</v>
      </c>
      <c r="B25" s="8" t="s">
        <v>197</v>
      </c>
      <c r="C25" s="10" t="s">
        <v>197</v>
      </c>
      <c r="D25" s="15" t="s">
        <v>468</v>
      </c>
      <c r="E25" s="10" t="s">
        <v>468</v>
      </c>
    </row>
    <row r="26" spans="1:5" x14ac:dyDescent="0.3">
      <c r="A26" s="7" t="s">
        <v>25</v>
      </c>
      <c r="B26" s="8" t="s">
        <v>198</v>
      </c>
      <c r="C26" s="10" t="s">
        <v>199</v>
      </c>
      <c r="D26" s="15" t="s">
        <v>469</v>
      </c>
      <c r="E26" s="10" t="s">
        <v>470</v>
      </c>
    </row>
    <row r="27" spans="1:5" x14ac:dyDescent="0.3">
      <c r="A27" s="7" t="s">
        <v>26</v>
      </c>
      <c r="B27" s="8" t="s">
        <v>200</v>
      </c>
      <c r="C27" s="10" t="s">
        <v>201</v>
      </c>
      <c r="D27" s="15" t="s">
        <v>471</v>
      </c>
      <c r="E27" s="10" t="s">
        <v>472</v>
      </c>
    </row>
    <row r="28" spans="1:5" x14ac:dyDescent="0.3">
      <c r="A28" s="7" t="s">
        <v>27</v>
      </c>
      <c r="B28" s="8" t="s">
        <v>202</v>
      </c>
      <c r="C28" s="10" t="s">
        <v>203</v>
      </c>
      <c r="D28" s="15" t="s">
        <v>473</v>
      </c>
      <c r="E28" s="10" t="s">
        <v>474</v>
      </c>
    </row>
    <row r="29" spans="1:5" x14ac:dyDescent="0.3">
      <c r="A29" s="7" t="s">
        <v>28</v>
      </c>
      <c r="B29" s="8" t="s">
        <v>204</v>
      </c>
      <c r="C29" s="10" t="s">
        <v>205</v>
      </c>
      <c r="D29" s="15" t="s">
        <v>475</v>
      </c>
      <c r="E29" s="10" t="s">
        <v>476</v>
      </c>
    </row>
    <row r="30" spans="1:5" x14ac:dyDescent="0.3">
      <c r="A30" s="7" t="s">
        <v>29</v>
      </c>
      <c r="B30" s="8" t="s">
        <v>206</v>
      </c>
      <c r="C30" s="10" t="s">
        <v>207</v>
      </c>
      <c r="D30" s="15" t="s">
        <v>477</v>
      </c>
      <c r="E30" s="10" t="s">
        <v>478</v>
      </c>
    </row>
    <row r="31" spans="1:5" x14ac:dyDescent="0.3">
      <c r="A31" s="7" t="s">
        <v>30</v>
      </c>
      <c r="B31" s="8" t="s">
        <v>208</v>
      </c>
      <c r="C31" s="10" t="s">
        <v>209</v>
      </c>
      <c r="D31" s="15" t="s">
        <v>479</v>
      </c>
      <c r="E31" s="10" t="s">
        <v>480</v>
      </c>
    </row>
    <row r="32" spans="1:5" x14ac:dyDescent="0.3">
      <c r="A32" s="7" t="s">
        <v>31</v>
      </c>
      <c r="B32" s="8" t="s">
        <v>210</v>
      </c>
      <c r="C32" s="10" t="s">
        <v>211</v>
      </c>
      <c r="D32" s="15" t="s">
        <v>481</v>
      </c>
      <c r="E32" s="10" t="s">
        <v>482</v>
      </c>
    </row>
    <row r="33" spans="1:5" x14ac:dyDescent="0.3">
      <c r="A33" s="7" t="s">
        <v>32</v>
      </c>
      <c r="B33" s="8" t="s">
        <v>212</v>
      </c>
      <c r="C33" s="10" t="s">
        <v>213</v>
      </c>
      <c r="D33" s="15" t="s">
        <v>483</v>
      </c>
      <c r="E33" s="10" t="s">
        <v>484</v>
      </c>
    </row>
    <row r="34" spans="1:5" x14ac:dyDescent="0.3">
      <c r="A34" s="7" t="s">
        <v>33</v>
      </c>
      <c r="B34" s="8" t="s">
        <v>214</v>
      </c>
      <c r="C34" s="10" t="s">
        <v>215</v>
      </c>
      <c r="D34" s="15" t="s">
        <v>485</v>
      </c>
      <c r="E34" s="10" t="s">
        <v>486</v>
      </c>
    </row>
    <row r="35" spans="1:5" x14ac:dyDescent="0.3">
      <c r="A35" s="7" t="s">
        <v>34</v>
      </c>
      <c r="B35" s="8" t="s">
        <v>216</v>
      </c>
      <c r="C35" s="10" t="s">
        <v>217</v>
      </c>
      <c r="D35" s="15" t="s">
        <v>487</v>
      </c>
      <c r="E35" s="10" t="s">
        <v>488</v>
      </c>
    </row>
    <row r="36" spans="1:5" x14ac:dyDescent="0.3">
      <c r="A36" s="7" t="s">
        <v>35</v>
      </c>
      <c r="B36" s="8" t="s">
        <v>218</v>
      </c>
      <c r="C36" s="10" t="s">
        <v>219</v>
      </c>
      <c r="D36" s="15" t="s">
        <v>489</v>
      </c>
      <c r="E36" s="10" t="s">
        <v>490</v>
      </c>
    </row>
    <row r="37" spans="1:5" x14ac:dyDescent="0.3">
      <c r="A37" s="7" t="s">
        <v>36</v>
      </c>
      <c r="B37" s="8" t="s">
        <v>220</v>
      </c>
      <c r="C37" s="10" t="s">
        <v>221</v>
      </c>
      <c r="D37" s="15" t="s">
        <v>491</v>
      </c>
      <c r="E37" s="10" t="s">
        <v>492</v>
      </c>
    </row>
    <row r="38" spans="1:5" x14ac:dyDescent="0.3">
      <c r="A38" s="7" t="s">
        <v>37</v>
      </c>
      <c r="B38" s="8" t="s">
        <v>222</v>
      </c>
      <c r="C38" s="10" t="s">
        <v>223</v>
      </c>
      <c r="D38" s="15" t="s">
        <v>493</v>
      </c>
      <c r="E38" s="10" t="s">
        <v>494</v>
      </c>
    </row>
    <row r="39" spans="1:5" x14ac:dyDescent="0.3">
      <c r="A39" s="7" t="s">
        <v>38</v>
      </c>
      <c r="B39" s="8" t="s">
        <v>224</v>
      </c>
      <c r="C39" s="10" t="s">
        <v>225</v>
      </c>
      <c r="D39" s="15" t="s">
        <v>495</v>
      </c>
      <c r="E39" s="10" t="s">
        <v>496</v>
      </c>
    </row>
    <row r="40" spans="1:5" x14ac:dyDescent="0.3">
      <c r="A40" s="7" t="s">
        <v>39</v>
      </c>
      <c r="B40" s="8" t="s">
        <v>226</v>
      </c>
      <c r="C40" s="10" t="s">
        <v>227</v>
      </c>
      <c r="D40" s="15" t="s">
        <v>497</v>
      </c>
      <c r="E40" s="10" t="s">
        <v>498</v>
      </c>
    </row>
    <row r="41" spans="1:5" x14ac:dyDescent="0.3">
      <c r="A41" s="7" t="s">
        <v>40</v>
      </c>
      <c r="B41" s="8" t="s">
        <v>228</v>
      </c>
      <c r="C41" s="10" t="s">
        <v>229</v>
      </c>
      <c r="D41" s="15" t="s">
        <v>499</v>
      </c>
      <c r="E41" s="10" t="s">
        <v>500</v>
      </c>
    </row>
    <row r="42" spans="1:5" x14ac:dyDescent="0.3">
      <c r="A42" s="7" t="s">
        <v>41</v>
      </c>
      <c r="B42" s="8" t="s">
        <v>230</v>
      </c>
      <c r="C42" s="10" t="s">
        <v>231</v>
      </c>
      <c r="D42" s="15" t="s">
        <v>501</v>
      </c>
      <c r="E42" s="10" t="s">
        <v>502</v>
      </c>
    </row>
    <row r="43" spans="1:5" x14ac:dyDescent="0.3">
      <c r="A43" s="7" t="s">
        <v>42</v>
      </c>
      <c r="B43" s="8" t="s">
        <v>232</v>
      </c>
      <c r="C43" s="10" t="s">
        <v>233</v>
      </c>
      <c r="D43" s="15" t="s">
        <v>503</v>
      </c>
      <c r="E43" s="10" t="s">
        <v>504</v>
      </c>
    </row>
    <row r="44" spans="1:5" x14ac:dyDescent="0.3">
      <c r="A44" s="7" t="s">
        <v>43</v>
      </c>
      <c r="B44" s="8" t="s">
        <v>234</v>
      </c>
      <c r="C44" s="10" t="s">
        <v>235</v>
      </c>
      <c r="D44" s="15" t="s">
        <v>505</v>
      </c>
      <c r="E44" s="10" t="s">
        <v>506</v>
      </c>
    </row>
    <row r="45" spans="1:5" x14ac:dyDescent="0.3">
      <c r="A45" s="7" t="s">
        <v>44</v>
      </c>
      <c r="B45" s="8" t="s">
        <v>236</v>
      </c>
      <c r="C45" s="10" t="s">
        <v>237</v>
      </c>
      <c r="D45" s="15" t="s">
        <v>507</v>
      </c>
      <c r="E45" s="10" t="s">
        <v>508</v>
      </c>
    </row>
    <row r="46" spans="1:5" x14ac:dyDescent="0.3">
      <c r="A46" s="7" t="s">
        <v>45</v>
      </c>
      <c r="B46" s="8" t="s">
        <v>238</v>
      </c>
      <c r="C46" s="10" t="s">
        <v>239</v>
      </c>
      <c r="D46" s="15" t="s">
        <v>509</v>
      </c>
      <c r="E46" s="10" t="s">
        <v>510</v>
      </c>
    </row>
    <row r="47" spans="1:5" x14ac:dyDescent="0.3">
      <c r="A47" s="7" t="s">
        <v>46</v>
      </c>
      <c r="B47" s="8" t="s">
        <v>240</v>
      </c>
      <c r="C47" s="10" t="s">
        <v>241</v>
      </c>
      <c r="D47" s="15" t="s">
        <v>511</v>
      </c>
      <c r="E47" s="10" t="s">
        <v>512</v>
      </c>
    </row>
    <row r="48" spans="1:5" x14ac:dyDescent="0.3">
      <c r="A48" s="7" t="s">
        <v>47</v>
      </c>
      <c r="B48" s="8" t="s">
        <v>242</v>
      </c>
      <c r="C48" s="10" t="s">
        <v>243</v>
      </c>
      <c r="D48" s="15" t="s">
        <v>513</v>
      </c>
      <c r="E48" s="10" t="s">
        <v>514</v>
      </c>
    </row>
    <row r="49" spans="1:5" x14ac:dyDescent="0.3">
      <c r="A49" s="7" t="s">
        <v>48</v>
      </c>
      <c r="B49" s="8" t="s">
        <v>244</v>
      </c>
      <c r="C49" s="10" t="s">
        <v>245</v>
      </c>
      <c r="D49" s="15" t="s">
        <v>244</v>
      </c>
      <c r="E49" s="10" t="s">
        <v>515</v>
      </c>
    </row>
    <row r="50" spans="1:5" x14ac:dyDescent="0.3">
      <c r="A50" s="7" t="s">
        <v>49</v>
      </c>
      <c r="B50" s="8" t="s">
        <v>246</v>
      </c>
      <c r="C50" s="10" t="s">
        <v>247</v>
      </c>
      <c r="D50" s="15" t="s">
        <v>516</v>
      </c>
      <c r="E50" s="10" t="s">
        <v>517</v>
      </c>
    </row>
    <row r="51" spans="1:5" x14ac:dyDescent="0.3">
      <c r="A51" s="7" t="s">
        <v>50</v>
      </c>
      <c r="B51" s="8" t="s">
        <v>248</v>
      </c>
      <c r="C51" s="10" t="s">
        <v>249</v>
      </c>
      <c r="D51" s="15" t="s">
        <v>248</v>
      </c>
      <c r="E51" s="10" t="s">
        <v>518</v>
      </c>
    </row>
    <row r="52" spans="1:5" x14ac:dyDescent="0.3">
      <c r="A52" s="7" t="s">
        <v>51</v>
      </c>
      <c r="B52" s="8" t="s">
        <v>250</v>
      </c>
      <c r="C52" s="10" t="s">
        <v>251</v>
      </c>
      <c r="D52" s="15" t="s">
        <v>519</v>
      </c>
      <c r="E52" s="10" t="s">
        <v>520</v>
      </c>
    </row>
    <row r="53" spans="1:5" x14ac:dyDescent="0.3">
      <c r="A53" s="7" t="s">
        <v>52</v>
      </c>
      <c r="B53" s="8" t="s">
        <v>252</v>
      </c>
      <c r="C53" s="10" t="s">
        <v>253</v>
      </c>
      <c r="D53" s="15" t="s">
        <v>521</v>
      </c>
      <c r="E53" s="10" t="s">
        <v>522</v>
      </c>
    </row>
    <row r="54" spans="1:5" x14ac:dyDescent="0.3">
      <c r="A54" s="7" t="s">
        <v>53</v>
      </c>
      <c r="B54" s="8" t="s">
        <v>254</v>
      </c>
      <c r="C54" s="10" t="s">
        <v>254</v>
      </c>
      <c r="D54" s="15" t="s">
        <v>523</v>
      </c>
      <c r="E54" s="10" t="s">
        <v>523</v>
      </c>
    </row>
    <row r="55" spans="1:5" x14ac:dyDescent="0.3">
      <c r="A55" s="7" t="s">
        <v>54</v>
      </c>
      <c r="B55" s="8" t="s">
        <v>255</v>
      </c>
      <c r="C55" s="10" t="s">
        <v>256</v>
      </c>
      <c r="D55" s="15" t="s">
        <v>524</v>
      </c>
      <c r="E55" s="10" t="s">
        <v>525</v>
      </c>
    </row>
    <row r="56" spans="1:5" x14ac:dyDescent="0.3">
      <c r="A56" s="7" t="s">
        <v>55</v>
      </c>
      <c r="B56" s="8" t="s">
        <v>257</v>
      </c>
      <c r="C56" s="10" t="s">
        <v>258</v>
      </c>
      <c r="D56" s="15" t="s">
        <v>526</v>
      </c>
      <c r="E56" s="10" t="s">
        <v>527</v>
      </c>
    </row>
    <row r="57" spans="1:5" x14ac:dyDescent="0.3">
      <c r="A57" s="7" t="s">
        <v>56</v>
      </c>
      <c r="B57" s="8" t="s">
        <v>259</v>
      </c>
      <c r="C57" s="10" t="s">
        <v>260</v>
      </c>
      <c r="D57" s="15" t="s">
        <v>528</v>
      </c>
      <c r="E57" s="10" t="s">
        <v>529</v>
      </c>
    </row>
    <row r="58" spans="1:5" x14ac:dyDescent="0.3">
      <c r="A58" s="7" t="s">
        <v>57</v>
      </c>
      <c r="B58" s="8" t="s">
        <v>261</v>
      </c>
      <c r="C58" s="10" t="s">
        <v>262</v>
      </c>
      <c r="D58" s="15" t="s">
        <v>530</v>
      </c>
      <c r="E58" s="10" t="s">
        <v>531</v>
      </c>
    </row>
    <row r="59" spans="1:5" x14ac:dyDescent="0.3">
      <c r="A59" s="7" t="s">
        <v>58</v>
      </c>
      <c r="B59" s="8" t="s">
        <v>263</v>
      </c>
      <c r="C59" s="10" t="s">
        <v>264</v>
      </c>
      <c r="D59" s="15" t="s">
        <v>532</v>
      </c>
      <c r="E59" s="10" t="s">
        <v>533</v>
      </c>
    </row>
    <row r="60" spans="1:5" x14ac:dyDescent="0.3">
      <c r="A60" s="7" t="s">
        <v>59</v>
      </c>
      <c r="B60" s="8" t="s">
        <v>265</v>
      </c>
      <c r="C60" s="10" t="s">
        <v>266</v>
      </c>
      <c r="D60" s="15" t="s">
        <v>534</v>
      </c>
      <c r="E60" s="10" t="s">
        <v>535</v>
      </c>
    </row>
    <row r="61" spans="1:5" x14ac:dyDescent="0.3">
      <c r="A61" s="7" t="s">
        <v>60</v>
      </c>
      <c r="B61" s="8" t="s">
        <v>267</v>
      </c>
      <c r="C61" s="10" t="s">
        <v>267</v>
      </c>
      <c r="D61" s="15" t="s">
        <v>536</v>
      </c>
      <c r="E61" s="10" t="s">
        <v>536</v>
      </c>
    </row>
    <row r="62" spans="1:5" x14ac:dyDescent="0.3">
      <c r="A62" s="7" t="s">
        <v>61</v>
      </c>
      <c r="B62" s="8" t="s">
        <v>268</v>
      </c>
      <c r="C62" s="10" t="s">
        <v>269</v>
      </c>
      <c r="D62" s="15" t="s">
        <v>537</v>
      </c>
      <c r="E62" s="10" t="s">
        <v>537</v>
      </c>
    </row>
    <row r="63" spans="1:5" x14ac:dyDescent="0.3">
      <c r="A63" s="7" t="s">
        <v>62</v>
      </c>
      <c r="B63" s="8" t="s">
        <v>270</v>
      </c>
      <c r="C63" s="10" t="s">
        <v>271</v>
      </c>
      <c r="D63" s="15" t="s">
        <v>538</v>
      </c>
      <c r="E63" s="10" t="s">
        <v>539</v>
      </c>
    </row>
    <row r="64" spans="1:5" x14ac:dyDescent="0.3">
      <c r="A64" s="7" t="s">
        <v>63</v>
      </c>
      <c r="B64" s="8" t="s">
        <v>272</v>
      </c>
      <c r="C64" s="10" t="s">
        <v>273</v>
      </c>
      <c r="D64" s="15" t="s">
        <v>540</v>
      </c>
      <c r="E64" s="10" t="s">
        <v>541</v>
      </c>
    </row>
    <row r="65" spans="1:5" x14ac:dyDescent="0.3">
      <c r="A65" s="7" t="s">
        <v>64</v>
      </c>
      <c r="B65" s="8" t="s">
        <v>274</v>
      </c>
      <c r="C65" s="10" t="s">
        <v>275</v>
      </c>
      <c r="D65" s="15" t="s">
        <v>542</v>
      </c>
      <c r="E65" s="10" t="s">
        <v>543</v>
      </c>
    </row>
    <row r="66" spans="1:5" x14ac:dyDescent="0.3">
      <c r="A66" s="7" t="s">
        <v>65</v>
      </c>
      <c r="B66" s="8" t="s">
        <v>276</v>
      </c>
      <c r="C66" s="10" t="s">
        <v>276</v>
      </c>
      <c r="D66" s="15" t="s">
        <v>544</v>
      </c>
      <c r="E66" s="10" t="s">
        <v>544</v>
      </c>
    </row>
    <row r="67" spans="1:5" x14ac:dyDescent="0.3">
      <c r="A67" s="7" t="s">
        <v>66</v>
      </c>
      <c r="B67" s="8" t="s">
        <v>277</v>
      </c>
      <c r="C67" s="10" t="s">
        <v>277</v>
      </c>
      <c r="D67" s="15" t="s">
        <v>545</v>
      </c>
      <c r="E67" s="10" t="s">
        <v>545</v>
      </c>
    </row>
    <row r="68" spans="1:5" x14ac:dyDescent="0.3">
      <c r="A68" s="7" t="s">
        <v>67</v>
      </c>
      <c r="B68" s="8" t="s">
        <v>278</v>
      </c>
      <c r="C68" s="10" t="s">
        <v>279</v>
      </c>
      <c r="D68" s="15" t="s">
        <v>546</v>
      </c>
      <c r="E68" s="10" t="s">
        <v>547</v>
      </c>
    </row>
    <row r="69" spans="1:5" x14ac:dyDescent="0.3">
      <c r="A69" s="7" t="s">
        <v>68</v>
      </c>
      <c r="B69" s="8" t="s">
        <v>280</v>
      </c>
      <c r="C69" s="10" t="s">
        <v>154</v>
      </c>
      <c r="D69" s="15" t="s">
        <v>423</v>
      </c>
      <c r="E69" s="10" t="s">
        <v>424</v>
      </c>
    </row>
    <row r="70" spans="1:5" x14ac:dyDescent="0.3">
      <c r="A70" s="7" t="s">
        <v>69</v>
      </c>
      <c r="B70" s="8" t="s">
        <v>281</v>
      </c>
      <c r="C70" s="10" t="s">
        <v>282</v>
      </c>
      <c r="D70" s="15" t="s">
        <v>548</v>
      </c>
      <c r="E70" s="10" t="s">
        <v>549</v>
      </c>
    </row>
    <row r="71" spans="1:5" x14ac:dyDescent="0.3">
      <c r="A71" s="7" t="s">
        <v>70</v>
      </c>
      <c r="B71" s="8" t="s">
        <v>283</v>
      </c>
      <c r="C71" s="10" t="s">
        <v>284</v>
      </c>
      <c r="D71" s="15" t="s">
        <v>550</v>
      </c>
      <c r="E71" s="10" t="s">
        <v>551</v>
      </c>
    </row>
    <row r="72" spans="1:5" x14ac:dyDescent="0.3">
      <c r="A72" s="7" t="s">
        <v>71</v>
      </c>
      <c r="B72" s="8" t="s">
        <v>285</v>
      </c>
      <c r="C72" s="10" t="s">
        <v>286</v>
      </c>
      <c r="D72" s="15" t="s">
        <v>552</v>
      </c>
      <c r="E72" s="10" t="s">
        <v>553</v>
      </c>
    </row>
    <row r="73" spans="1:5" x14ac:dyDescent="0.3">
      <c r="A73" s="7" t="s">
        <v>72</v>
      </c>
      <c r="B73" s="8" t="s">
        <v>287</v>
      </c>
      <c r="C73" s="10" t="s">
        <v>288</v>
      </c>
      <c r="D73" s="15" t="s">
        <v>554</v>
      </c>
      <c r="E73" s="10" t="s">
        <v>555</v>
      </c>
    </row>
    <row r="74" spans="1:5" x14ac:dyDescent="0.3">
      <c r="A74" s="7" t="s">
        <v>73</v>
      </c>
      <c r="B74" s="8" t="s">
        <v>289</v>
      </c>
      <c r="C74" s="10" t="s">
        <v>290</v>
      </c>
      <c r="D74" s="15" t="s">
        <v>556</v>
      </c>
      <c r="E74" s="10" t="s">
        <v>557</v>
      </c>
    </row>
    <row r="75" spans="1:5" x14ac:dyDescent="0.3">
      <c r="A75" s="7" t="s">
        <v>74</v>
      </c>
      <c r="B75" s="8" t="s">
        <v>291</v>
      </c>
      <c r="C75" s="10" t="s">
        <v>291</v>
      </c>
      <c r="D75" s="15" t="s">
        <v>558</v>
      </c>
      <c r="E75" s="10" t="s">
        <v>558</v>
      </c>
    </row>
    <row r="76" spans="1:5" x14ac:dyDescent="0.3">
      <c r="A76" s="7" t="s">
        <v>75</v>
      </c>
      <c r="B76" s="8" t="s">
        <v>292</v>
      </c>
      <c r="C76" s="10" t="s">
        <v>293</v>
      </c>
      <c r="D76" s="15" t="s">
        <v>559</v>
      </c>
      <c r="E76" s="10" t="s">
        <v>560</v>
      </c>
    </row>
    <row r="77" spans="1:5" x14ac:dyDescent="0.3">
      <c r="A77" s="7" t="s">
        <v>76</v>
      </c>
      <c r="B77" s="8" t="s">
        <v>294</v>
      </c>
      <c r="C77" s="10" t="s">
        <v>295</v>
      </c>
      <c r="D77" s="15" t="s">
        <v>561</v>
      </c>
      <c r="E77" s="10" t="s">
        <v>562</v>
      </c>
    </row>
    <row r="78" spans="1:5" x14ac:dyDescent="0.3">
      <c r="A78" s="7" t="s">
        <v>77</v>
      </c>
      <c r="B78" s="8" t="s">
        <v>296</v>
      </c>
      <c r="C78" s="10" t="s">
        <v>297</v>
      </c>
      <c r="D78" s="15" t="s">
        <v>563</v>
      </c>
      <c r="E78" s="10" t="s">
        <v>564</v>
      </c>
    </row>
    <row r="79" spans="1:5" x14ac:dyDescent="0.3">
      <c r="A79" s="7" t="s">
        <v>78</v>
      </c>
      <c r="B79" s="8" t="s">
        <v>298</v>
      </c>
      <c r="C79" s="10" t="s">
        <v>167</v>
      </c>
      <c r="D79" s="15" t="s">
        <v>565</v>
      </c>
      <c r="E79" s="10" t="s">
        <v>566</v>
      </c>
    </row>
    <row r="80" spans="1:5" x14ac:dyDescent="0.3">
      <c r="A80" s="7" t="s">
        <v>79</v>
      </c>
      <c r="B80" s="8" t="s">
        <v>299</v>
      </c>
      <c r="C80" s="10" t="s">
        <v>299</v>
      </c>
      <c r="D80" s="15" t="s">
        <v>567</v>
      </c>
      <c r="E80" s="10" t="s">
        <v>567</v>
      </c>
    </row>
    <row r="81" spans="1:5" x14ac:dyDescent="0.3">
      <c r="A81" s="7" t="s">
        <v>80</v>
      </c>
      <c r="B81" s="8" t="s">
        <v>300</v>
      </c>
      <c r="C81" s="10" t="s">
        <v>300</v>
      </c>
      <c r="D81" s="15" t="s">
        <v>568</v>
      </c>
      <c r="E81" s="10" t="s">
        <v>568</v>
      </c>
    </row>
    <row r="82" spans="1:5" x14ac:dyDescent="0.3">
      <c r="A82" s="7" t="s">
        <v>81</v>
      </c>
      <c r="B82" s="8" t="s">
        <v>301</v>
      </c>
      <c r="C82" s="10" t="s">
        <v>301</v>
      </c>
      <c r="D82" s="15" t="s">
        <v>569</v>
      </c>
      <c r="E82" s="10" t="s">
        <v>569</v>
      </c>
    </row>
    <row r="83" spans="1:5" x14ac:dyDescent="0.3">
      <c r="A83" s="7" t="s">
        <v>82</v>
      </c>
      <c r="B83" s="8" t="s">
        <v>302</v>
      </c>
      <c r="C83" s="10" t="s">
        <v>302</v>
      </c>
      <c r="D83" s="15" t="s">
        <v>570</v>
      </c>
      <c r="E83" s="10" t="s">
        <v>570</v>
      </c>
    </row>
    <row r="84" spans="1:5" x14ac:dyDescent="0.3">
      <c r="A84" s="7" t="s">
        <v>83</v>
      </c>
      <c r="B84" s="8" t="s">
        <v>303</v>
      </c>
      <c r="C84" s="10" t="s">
        <v>304</v>
      </c>
      <c r="D84" s="15" t="s">
        <v>571</v>
      </c>
      <c r="E84" s="10" t="s">
        <v>572</v>
      </c>
    </row>
    <row r="85" spans="1:5" x14ac:dyDescent="0.3">
      <c r="A85" s="7" t="s">
        <v>84</v>
      </c>
      <c r="B85" s="8" t="s">
        <v>305</v>
      </c>
      <c r="C85" s="10" t="s">
        <v>306</v>
      </c>
      <c r="D85" s="15" t="s">
        <v>573</v>
      </c>
      <c r="E85" s="10" t="s">
        <v>574</v>
      </c>
    </row>
    <row r="86" spans="1:5" x14ac:dyDescent="0.3">
      <c r="A86" s="7" t="s">
        <v>85</v>
      </c>
      <c r="B86" s="8" t="s">
        <v>307</v>
      </c>
      <c r="C86" s="10" t="s">
        <v>308</v>
      </c>
      <c r="D86" s="15" t="s">
        <v>575</v>
      </c>
      <c r="E86" s="10" t="s">
        <v>576</v>
      </c>
    </row>
    <row r="87" spans="1:5" x14ac:dyDescent="0.3">
      <c r="A87" s="7" t="s">
        <v>86</v>
      </c>
      <c r="B87" s="8" t="s">
        <v>309</v>
      </c>
      <c r="C87" s="10" t="s">
        <v>310</v>
      </c>
      <c r="D87" s="15" t="s">
        <v>577</v>
      </c>
      <c r="E87" s="10" t="s">
        <v>578</v>
      </c>
    </row>
    <row r="88" spans="1:5" x14ac:dyDescent="0.3">
      <c r="A88" s="7" t="s">
        <v>87</v>
      </c>
      <c r="B88" s="8" t="s">
        <v>311</v>
      </c>
      <c r="C88" s="10" t="s">
        <v>312</v>
      </c>
      <c r="D88" s="15" t="s">
        <v>579</v>
      </c>
      <c r="E88" s="10" t="s">
        <v>580</v>
      </c>
    </row>
    <row r="89" spans="1:5" x14ac:dyDescent="0.3">
      <c r="A89" s="7" t="s">
        <v>88</v>
      </c>
      <c r="B89" s="8" t="s">
        <v>313</v>
      </c>
      <c r="C89" s="10" t="s">
        <v>313</v>
      </c>
      <c r="D89" s="15" t="s">
        <v>581</v>
      </c>
      <c r="E89" s="10" t="s">
        <v>581</v>
      </c>
    </row>
    <row r="90" spans="1:5" x14ac:dyDescent="0.3">
      <c r="A90" s="7" t="s">
        <v>89</v>
      </c>
      <c r="B90" s="8" t="s">
        <v>314</v>
      </c>
      <c r="C90" s="10" t="s">
        <v>315</v>
      </c>
      <c r="D90" s="15" t="s">
        <v>582</v>
      </c>
      <c r="E90" s="10" t="s">
        <v>583</v>
      </c>
    </row>
    <row r="91" spans="1:5" x14ac:dyDescent="0.3">
      <c r="A91" s="7" t="s">
        <v>90</v>
      </c>
      <c r="B91" s="8" t="s">
        <v>316</v>
      </c>
      <c r="C91" s="10" t="s">
        <v>317</v>
      </c>
      <c r="D91" s="15" t="s">
        <v>584</v>
      </c>
      <c r="E91" s="10" t="s">
        <v>585</v>
      </c>
    </row>
    <row r="92" spans="1:5" x14ac:dyDescent="0.3">
      <c r="A92" s="7" t="s">
        <v>91</v>
      </c>
      <c r="B92" s="8" t="s">
        <v>318</v>
      </c>
      <c r="C92" s="10" t="s">
        <v>318</v>
      </c>
      <c r="D92" s="15" t="s">
        <v>586</v>
      </c>
      <c r="E92" s="10" t="s">
        <v>586</v>
      </c>
    </row>
    <row r="93" spans="1:5" x14ac:dyDescent="0.3">
      <c r="A93" s="7" t="s">
        <v>92</v>
      </c>
      <c r="B93" s="8" t="s">
        <v>319</v>
      </c>
      <c r="C93" s="10" t="s">
        <v>319</v>
      </c>
      <c r="D93" s="15" t="s">
        <v>587</v>
      </c>
      <c r="E93" s="10" t="s">
        <v>587</v>
      </c>
    </row>
    <row r="94" spans="1:5" x14ac:dyDescent="0.3">
      <c r="A94" s="7" t="s">
        <v>93</v>
      </c>
      <c r="B94" s="8" t="s">
        <v>320</v>
      </c>
      <c r="C94" s="10" t="s">
        <v>320</v>
      </c>
      <c r="D94" s="15" t="s">
        <v>588</v>
      </c>
      <c r="E94" s="10" t="s">
        <v>588</v>
      </c>
    </row>
    <row r="95" spans="1:5" x14ac:dyDescent="0.3">
      <c r="A95" s="7" t="s">
        <v>94</v>
      </c>
      <c r="B95" s="8" t="s">
        <v>321</v>
      </c>
      <c r="C95" s="10" t="s">
        <v>321</v>
      </c>
      <c r="D95" s="15" t="s">
        <v>589</v>
      </c>
      <c r="E95" s="10" t="s">
        <v>590</v>
      </c>
    </row>
    <row r="96" spans="1:5" x14ac:dyDescent="0.3">
      <c r="A96" s="7" t="s">
        <v>95</v>
      </c>
      <c r="B96" s="8" t="s">
        <v>322</v>
      </c>
      <c r="C96" s="10" t="s">
        <v>322</v>
      </c>
      <c r="D96" s="15" t="s">
        <v>591</v>
      </c>
      <c r="E96" s="10" t="s">
        <v>591</v>
      </c>
    </row>
    <row r="97" spans="1:5" x14ac:dyDescent="0.3">
      <c r="A97" s="7" t="s">
        <v>96</v>
      </c>
      <c r="B97" s="8" t="s">
        <v>323</v>
      </c>
      <c r="C97" s="10" t="s">
        <v>323</v>
      </c>
      <c r="D97" s="15" t="s">
        <v>592</v>
      </c>
      <c r="E97" s="10" t="s">
        <v>592</v>
      </c>
    </row>
    <row r="98" spans="1:5" x14ac:dyDescent="0.3">
      <c r="A98" s="7" t="s">
        <v>97</v>
      </c>
      <c r="B98" s="8" t="s">
        <v>324</v>
      </c>
      <c r="C98" s="10" t="s">
        <v>324</v>
      </c>
      <c r="D98" s="15" t="s">
        <v>593</v>
      </c>
      <c r="E98" s="10" t="s">
        <v>594</v>
      </c>
    </row>
    <row r="99" spans="1:5" x14ac:dyDescent="0.3">
      <c r="A99" s="7" t="s">
        <v>98</v>
      </c>
      <c r="B99" s="8" t="s">
        <v>325</v>
      </c>
      <c r="C99" s="10" t="s">
        <v>326</v>
      </c>
      <c r="D99" s="15" t="s">
        <v>595</v>
      </c>
      <c r="E99" s="10" t="s">
        <v>596</v>
      </c>
    </row>
    <row r="100" spans="1:5" x14ac:dyDescent="0.3">
      <c r="A100" s="7" t="s">
        <v>99</v>
      </c>
      <c r="B100" s="8" t="s">
        <v>327</v>
      </c>
      <c r="C100" s="10" t="s">
        <v>328</v>
      </c>
      <c r="D100" s="15" t="s">
        <v>597</v>
      </c>
      <c r="E100" s="10" t="s">
        <v>598</v>
      </c>
    </row>
    <row r="101" spans="1:5" x14ac:dyDescent="0.3">
      <c r="A101" s="7" t="s">
        <v>100</v>
      </c>
      <c r="B101" s="8" t="s">
        <v>329</v>
      </c>
      <c r="C101" s="10" t="s">
        <v>330</v>
      </c>
      <c r="D101" s="15" t="s">
        <v>599</v>
      </c>
      <c r="E101" s="10" t="s">
        <v>600</v>
      </c>
    </row>
    <row r="102" spans="1:5" x14ac:dyDescent="0.3">
      <c r="A102" s="7" t="s">
        <v>101</v>
      </c>
      <c r="B102" s="8" t="s">
        <v>331</v>
      </c>
      <c r="C102" s="10" t="s">
        <v>332</v>
      </c>
      <c r="D102" s="15" t="s">
        <v>601</v>
      </c>
      <c r="E102" s="10" t="s">
        <v>602</v>
      </c>
    </row>
    <row r="103" spans="1:5" x14ac:dyDescent="0.3">
      <c r="A103" s="7" t="s">
        <v>102</v>
      </c>
      <c r="B103" s="8" t="s">
        <v>333</v>
      </c>
      <c r="C103" s="10" t="s">
        <v>334</v>
      </c>
      <c r="D103" s="15" t="s">
        <v>603</v>
      </c>
      <c r="E103" s="10" t="s">
        <v>604</v>
      </c>
    </row>
    <row r="104" spans="1:5" x14ac:dyDescent="0.3">
      <c r="A104" s="7" t="s">
        <v>103</v>
      </c>
      <c r="B104" s="8" t="s">
        <v>335</v>
      </c>
      <c r="C104" s="10" t="s">
        <v>336</v>
      </c>
      <c r="D104" s="15" t="s">
        <v>605</v>
      </c>
      <c r="E104" s="10" t="s">
        <v>606</v>
      </c>
    </row>
    <row r="105" spans="1:5" x14ac:dyDescent="0.3">
      <c r="A105" s="7" t="s">
        <v>104</v>
      </c>
      <c r="B105" s="8" t="s">
        <v>337</v>
      </c>
      <c r="C105" s="10" t="s">
        <v>338</v>
      </c>
      <c r="D105" s="15" t="s">
        <v>607</v>
      </c>
      <c r="E105" s="10" t="s">
        <v>608</v>
      </c>
    </row>
    <row r="106" spans="1:5" x14ac:dyDescent="0.3">
      <c r="A106" s="7" t="s">
        <v>105</v>
      </c>
      <c r="B106" s="8" t="s">
        <v>339</v>
      </c>
      <c r="C106" s="10" t="s">
        <v>340</v>
      </c>
      <c r="D106" s="15" t="s">
        <v>609</v>
      </c>
      <c r="E106" s="10" t="s">
        <v>610</v>
      </c>
    </row>
    <row r="107" spans="1:5" x14ac:dyDescent="0.3">
      <c r="A107" s="7" t="s">
        <v>106</v>
      </c>
      <c r="B107" s="8" t="s">
        <v>341</v>
      </c>
      <c r="C107" s="10" t="s">
        <v>342</v>
      </c>
      <c r="D107" s="15" t="s">
        <v>611</v>
      </c>
      <c r="E107" s="10" t="s">
        <v>612</v>
      </c>
    </row>
    <row r="108" spans="1:5" x14ac:dyDescent="0.3">
      <c r="A108" s="7" t="s">
        <v>107</v>
      </c>
      <c r="B108" s="8" t="s">
        <v>343</v>
      </c>
      <c r="C108" s="10" t="s">
        <v>344</v>
      </c>
      <c r="D108" s="15" t="s">
        <v>613</v>
      </c>
      <c r="E108" s="10" t="s">
        <v>614</v>
      </c>
    </row>
    <row r="109" spans="1:5" x14ac:dyDescent="0.3">
      <c r="A109" s="7" t="s">
        <v>108</v>
      </c>
      <c r="B109" s="8" t="s">
        <v>345</v>
      </c>
      <c r="C109" s="10" t="s">
        <v>346</v>
      </c>
      <c r="D109" s="15" t="s">
        <v>615</v>
      </c>
      <c r="E109" s="10" t="s">
        <v>616</v>
      </c>
    </row>
    <row r="110" spans="1:5" x14ac:dyDescent="0.3">
      <c r="A110" s="7" t="s">
        <v>109</v>
      </c>
      <c r="B110" s="8" t="s">
        <v>347</v>
      </c>
      <c r="C110" s="10" t="s">
        <v>348</v>
      </c>
      <c r="D110" s="15" t="s">
        <v>617</v>
      </c>
      <c r="E110" s="10" t="s">
        <v>618</v>
      </c>
    </row>
    <row r="111" spans="1:5" x14ac:dyDescent="0.3">
      <c r="A111" s="7" t="s">
        <v>110</v>
      </c>
      <c r="B111" s="8" t="s">
        <v>349</v>
      </c>
      <c r="C111" s="10" t="s">
        <v>350</v>
      </c>
      <c r="D111" s="15" t="s">
        <v>619</v>
      </c>
      <c r="E111" s="10" t="s">
        <v>620</v>
      </c>
    </row>
    <row r="112" spans="1:5" x14ac:dyDescent="0.3">
      <c r="A112" s="7" t="s">
        <v>111</v>
      </c>
      <c r="B112" s="8" t="s">
        <v>351</v>
      </c>
      <c r="C112" s="10" t="s">
        <v>352</v>
      </c>
      <c r="D112" s="15" t="s">
        <v>621</v>
      </c>
      <c r="E112" s="10" t="s">
        <v>622</v>
      </c>
    </row>
    <row r="113" spans="1:5" x14ac:dyDescent="0.3">
      <c r="A113" s="7" t="s">
        <v>112</v>
      </c>
      <c r="B113" s="8" t="s">
        <v>353</v>
      </c>
      <c r="C113" s="10" t="s">
        <v>354</v>
      </c>
      <c r="D113" s="15" t="s">
        <v>623</v>
      </c>
      <c r="E113" s="10" t="s">
        <v>624</v>
      </c>
    </row>
    <row r="114" spans="1:5" x14ac:dyDescent="0.3">
      <c r="A114" s="7" t="s">
        <v>113</v>
      </c>
      <c r="B114" s="8" t="s">
        <v>355</v>
      </c>
      <c r="C114" s="10" t="s">
        <v>356</v>
      </c>
      <c r="D114" s="15" t="s">
        <v>625</v>
      </c>
      <c r="E114" s="10" t="s">
        <v>626</v>
      </c>
    </row>
    <row r="115" spans="1:5" x14ac:dyDescent="0.3">
      <c r="A115" s="7" t="s">
        <v>114</v>
      </c>
      <c r="B115" s="8" t="s">
        <v>357</v>
      </c>
      <c r="C115" s="10" t="s">
        <v>358</v>
      </c>
      <c r="D115" s="15" t="s">
        <v>627</v>
      </c>
      <c r="E115" s="10" t="s">
        <v>628</v>
      </c>
    </row>
    <row r="116" spans="1:5" x14ac:dyDescent="0.3">
      <c r="A116" s="7" t="s">
        <v>115</v>
      </c>
      <c r="B116" s="8" t="s">
        <v>359</v>
      </c>
      <c r="C116" s="10" t="s">
        <v>154</v>
      </c>
      <c r="D116" s="15" t="s">
        <v>629</v>
      </c>
      <c r="E116" s="10" t="s">
        <v>424</v>
      </c>
    </row>
    <row r="117" spans="1:5" x14ac:dyDescent="0.3">
      <c r="A117" s="7" t="s">
        <v>116</v>
      </c>
      <c r="B117" s="8" t="s">
        <v>360</v>
      </c>
      <c r="C117" s="10" t="s">
        <v>360</v>
      </c>
      <c r="D117" s="15" t="s">
        <v>630</v>
      </c>
      <c r="E117" s="10" t="s">
        <v>631</v>
      </c>
    </row>
    <row r="118" spans="1:5" x14ac:dyDescent="0.3">
      <c r="A118" s="7" t="s">
        <v>117</v>
      </c>
      <c r="B118" s="8" t="s">
        <v>291</v>
      </c>
      <c r="C118" s="10" t="s">
        <v>291</v>
      </c>
      <c r="D118" s="15" t="s">
        <v>632</v>
      </c>
      <c r="E118" s="10" t="s">
        <v>558</v>
      </c>
    </row>
    <row r="119" spans="1:5" x14ac:dyDescent="0.3">
      <c r="A119" s="7" t="s">
        <v>118</v>
      </c>
      <c r="B119" s="8" t="s">
        <v>292</v>
      </c>
      <c r="C119" s="10" t="s">
        <v>293</v>
      </c>
      <c r="D119" s="15" t="s">
        <v>559</v>
      </c>
      <c r="E119" s="10" t="s">
        <v>560</v>
      </c>
    </row>
    <row r="120" spans="1:5" x14ac:dyDescent="0.3">
      <c r="A120" s="7" t="s">
        <v>119</v>
      </c>
      <c r="B120" s="8" t="s">
        <v>361</v>
      </c>
      <c r="C120" s="10" t="s">
        <v>167</v>
      </c>
      <c r="D120" s="15" t="s">
        <v>633</v>
      </c>
      <c r="E120" s="10" t="s">
        <v>634</v>
      </c>
    </row>
    <row r="121" spans="1:5" x14ac:dyDescent="0.3">
      <c r="A121" s="7" t="s">
        <v>120</v>
      </c>
      <c r="B121" s="8" t="s">
        <v>362</v>
      </c>
      <c r="C121" s="10" t="s">
        <v>363</v>
      </c>
      <c r="D121" s="15" t="s">
        <v>635</v>
      </c>
      <c r="E121" s="10" t="s">
        <v>636</v>
      </c>
    </row>
    <row r="122" spans="1:5" x14ac:dyDescent="0.3">
      <c r="A122" s="7" t="s">
        <v>121</v>
      </c>
      <c r="B122" s="8" t="s">
        <v>364</v>
      </c>
      <c r="C122" s="10" t="s">
        <v>365</v>
      </c>
      <c r="D122" s="15" t="s">
        <v>637</v>
      </c>
      <c r="E122" s="10" t="s">
        <v>638</v>
      </c>
    </row>
    <row r="123" spans="1:5" x14ac:dyDescent="0.3">
      <c r="A123" s="7" t="s">
        <v>122</v>
      </c>
      <c r="B123" s="8" t="s">
        <v>366</v>
      </c>
      <c r="C123" s="10" t="s">
        <v>367</v>
      </c>
      <c r="D123" s="15" t="s">
        <v>639</v>
      </c>
      <c r="E123" s="10" t="s">
        <v>640</v>
      </c>
    </row>
    <row r="124" spans="1:5" x14ac:dyDescent="0.3">
      <c r="A124" s="7" t="s">
        <v>123</v>
      </c>
      <c r="B124" s="8" t="s">
        <v>368</v>
      </c>
      <c r="C124" s="10" t="s">
        <v>369</v>
      </c>
      <c r="D124" s="15" t="s">
        <v>641</v>
      </c>
      <c r="E124" s="10" t="s">
        <v>642</v>
      </c>
    </row>
    <row r="125" spans="1:5" x14ac:dyDescent="0.3">
      <c r="A125" s="7" t="s">
        <v>124</v>
      </c>
      <c r="B125" s="8" t="s">
        <v>370</v>
      </c>
      <c r="C125" s="10" t="s">
        <v>371</v>
      </c>
      <c r="D125" s="15" t="s">
        <v>643</v>
      </c>
      <c r="E125" s="10" t="s">
        <v>644</v>
      </c>
    </row>
    <row r="126" spans="1:5" x14ac:dyDescent="0.3">
      <c r="A126" s="7" t="s">
        <v>125</v>
      </c>
      <c r="B126" s="8" t="s">
        <v>372</v>
      </c>
      <c r="C126" s="10" t="s">
        <v>372</v>
      </c>
      <c r="D126" s="15" t="s">
        <v>645</v>
      </c>
      <c r="E126" s="10" t="s">
        <v>645</v>
      </c>
    </row>
    <row r="127" spans="1:5" x14ac:dyDescent="0.3">
      <c r="A127" s="7" t="s">
        <v>126</v>
      </c>
      <c r="B127" s="8" t="s">
        <v>373</v>
      </c>
      <c r="C127" s="10" t="s">
        <v>374</v>
      </c>
      <c r="D127" s="15" t="s">
        <v>646</v>
      </c>
      <c r="E127" s="10" t="s">
        <v>647</v>
      </c>
    </row>
    <row r="128" spans="1:5" x14ac:dyDescent="0.3">
      <c r="A128" s="7" t="s">
        <v>127</v>
      </c>
      <c r="B128" s="8" t="s">
        <v>375</v>
      </c>
      <c r="C128" s="10" t="s">
        <v>375</v>
      </c>
      <c r="D128" s="15" t="s">
        <v>648</v>
      </c>
      <c r="E128" s="10" t="s">
        <v>648</v>
      </c>
    </row>
    <row r="129" spans="1:5" x14ac:dyDescent="0.3">
      <c r="A129" s="7" t="s">
        <v>128</v>
      </c>
      <c r="B129" s="8" t="s">
        <v>376</v>
      </c>
      <c r="C129" s="10" t="s">
        <v>377</v>
      </c>
      <c r="D129" s="15" t="s">
        <v>649</v>
      </c>
      <c r="E129" s="10" t="s">
        <v>650</v>
      </c>
    </row>
    <row r="130" spans="1:5" x14ac:dyDescent="0.3">
      <c r="A130" s="7" t="s">
        <v>129</v>
      </c>
      <c r="B130" s="8" t="s">
        <v>378</v>
      </c>
      <c r="C130" s="10" t="s">
        <v>379</v>
      </c>
      <c r="D130" s="15" t="s">
        <v>651</v>
      </c>
      <c r="E130" s="10" t="s">
        <v>652</v>
      </c>
    </row>
    <row r="131" spans="1:5" x14ac:dyDescent="0.3">
      <c r="A131" s="7" t="s">
        <v>130</v>
      </c>
      <c r="B131" s="8" t="s">
        <v>380</v>
      </c>
      <c r="C131" s="10" t="s">
        <v>381</v>
      </c>
      <c r="D131" s="15" t="s">
        <v>653</v>
      </c>
      <c r="E131" s="10" t="s">
        <v>654</v>
      </c>
    </row>
    <row r="132" spans="1:5" x14ac:dyDescent="0.3">
      <c r="A132" s="7" t="s">
        <v>131</v>
      </c>
      <c r="B132" s="8" t="s">
        <v>382</v>
      </c>
      <c r="C132" s="10" t="s">
        <v>383</v>
      </c>
      <c r="D132" s="15" t="s">
        <v>655</v>
      </c>
      <c r="E132" s="10" t="s">
        <v>656</v>
      </c>
    </row>
    <row r="133" spans="1:5" x14ac:dyDescent="0.3">
      <c r="A133" s="7" t="s">
        <v>132</v>
      </c>
      <c r="B133" s="8" t="s">
        <v>384</v>
      </c>
      <c r="C133" s="10" t="s">
        <v>385</v>
      </c>
      <c r="D133" s="15" t="s">
        <v>657</v>
      </c>
      <c r="E133" s="10" t="s">
        <v>658</v>
      </c>
    </row>
    <row r="134" spans="1:5" x14ac:dyDescent="0.3">
      <c r="A134" s="7" t="s">
        <v>133</v>
      </c>
      <c r="B134" s="8" t="s">
        <v>386</v>
      </c>
      <c r="C134" s="10" t="s">
        <v>387</v>
      </c>
      <c r="D134" s="15" t="s">
        <v>659</v>
      </c>
      <c r="E134" s="10" t="s">
        <v>660</v>
      </c>
    </row>
    <row r="135" spans="1:5" x14ac:dyDescent="0.3">
      <c r="A135" s="7" t="s">
        <v>134</v>
      </c>
      <c r="B135" s="8" t="s">
        <v>388</v>
      </c>
      <c r="C135" s="10" t="s">
        <v>389</v>
      </c>
      <c r="D135" s="15" t="s">
        <v>661</v>
      </c>
      <c r="E135" s="10" t="s">
        <v>662</v>
      </c>
    </row>
    <row r="136" spans="1:5" x14ac:dyDescent="0.3">
      <c r="A136" s="7" t="s">
        <v>135</v>
      </c>
      <c r="B136" s="8" t="s">
        <v>390</v>
      </c>
      <c r="C136" s="10" t="s">
        <v>391</v>
      </c>
      <c r="D136" s="15" t="s">
        <v>663</v>
      </c>
      <c r="E136" s="10" t="s">
        <v>664</v>
      </c>
    </row>
    <row r="137" spans="1:5" x14ac:dyDescent="0.3">
      <c r="A137" s="7" t="s">
        <v>136</v>
      </c>
      <c r="B137" s="8" t="s">
        <v>392</v>
      </c>
      <c r="C137" s="10" t="s">
        <v>393</v>
      </c>
      <c r="D137" s="15" t="s">
        <v>665</v>
      </c>
      <c r="E137" s="10" t="s">
        <v>666</v>
      </c>
    </row>
    <row r="138" spans="1:5" x14ac:dyDescent="0.3">
      <c r="A138" s="7" t="s">
        <v>137</v>
      </c>
      <c r="B138" s="8" t="s">
        <v>394</v>
      </c>
      <c r="C138" s="10" t="s">
        <v>395</v>
      </c>
      <c r="D138" s="15" t="s">
        <v>667</v>
      </c>
      <c r="E138" s="10" t="s">
        <v>668</v>
      </c>
    </row>
    <row r="139" spans="1:5" x14ac:dyDescent="0.3">
      <c r="A139" s="7" t="s">
        <v>138</v>
      </c>
      <c r="B139" s="8" t="s">
        <v>396</v>
      </c>
      <c r="C139" s="10" t="s">
        <v>397</v>
      </c>
      <c r="D139" s="15" t="s">
        <v>669</v>
      </c>
      <c r="E139" s="10" t="s">
        <v>670</v>
      </c>
    </row>
    <row r="140" spans="1:5" x14ac:dyDescent="0.3">
      <c r="A140" s="7" t="s">
        <v>139</v>
      </c>
      <c r="B140" s="8" t="s">
        <v>398</v>
      </c>
      <c r="C140" s="10" t="s">
        <v>399</v>
      </c>
      <c r="D140" s="17" t="s">
        <v>671</v>
      </c>
      <c r="E140" s="10" t="s">
        <v>672</v>
      </c>
    </row>
    <row r="141" spans="1:5" x14ac:dyDescent="0.3">
      <c r="A141" s="7" t="s">
        <v>140</v>
      </c>
      <c r="B141" s="8" t="s">
        <v>400</v>
      </c>
      <c r="C141" s="10" t="s">
        <v>401</v>
      </c>
      <c r="D141" s="17" t="s">
        <v>673</v>
      </c>
      <c r="E141" s="10" t="s">
        <v>674</v>
      </c>
    </row>
    <row r="142" spans="1:5" x14ac:dyDescent="0.3">
      <c r="A142" s="7" t="s">
        <v>141</v>
      </c>
      <c r="B142" s="8" t="s">
        <v>402</v>
      </c>
      <c r="C142" s="10" t="s">
        <v>403</v>
      </c>
      <c r="D142" s="17" t="s">
        <v>675</v>
      </c>
      <c r="E142" s="10" t="s">
        <v>676</v>
      </c>
    </row>
    <row r="143" spans="1:5" x14ac:dyDescent="0.3">
      <c r="A143" s="7" t="s">
        <v>142</v>
      </c>
      <c r="B143" s="8" t="s">
        <v>404</v>
      </c>
      <c r="C143" s="10" t="s">
        <v>405</v>
      </c>
      <c r="D143" s="17" t="s">
        <v>677</v>
      </c>
      <c r="E143" s="10" t="s">
        <v>678</v>
      </c>
    </row>
    <row r="144" spans="1:5" x14ac:dyDescent="0.3">
      <c r="A144" s="7" t="s">
        <v>143</v>
      </c>
      <c r="B144" s="8" t="s">
        <v>406</v>
      </c>
      <c r="C144" s="10" t="s">
        <v>407</v>
      </c>
      <c r="D144" s="17" t="s">
        <v>679</v>
      </c>
      <c r="E144" s="10" t="s">
        <v>680</v>
      </c>
    </row>
    <row r="145" spans="1:5" x14ac:dyDescent="0.3">
      <c r="A145" s="7" t="s">
        <v>144</v>
      </c>
      <c r="B145" s="8" t="s">
        <v>408</v>
      </c>
      <c r="C145" s="10" t="s">
        <v>409</v>
      </c>
      <c r="D145" s="17" t="s">
        <v>681</v>
      </c>
      <c r="E145" s="10" t="s">
        <v>682</v>
      </c>
    </row>
    <row r="146" spans="1:5" x14ac:dyDescent="0.3">
      <c r="A146" s="7" t="s">
        <v>145</v>
      </c>
      <c r="B146" s="8" t="s">
        <v>410</v>
      </c>
      <c r="C146" s="10" t="s">
        <v>411</v>
      </c>
      <c r="D146" s="17" t="s">
        <v>683</v>
      </c>
      <c r="E146" s="10" t="s">
        <v>684</v>
      </c>
    </row>
    <row r="147" spans="1:5" x14ac:dyDescent="0.3">
      <c r="A147" s="7" t="s">
        <v>146</v>
      </c>
      <c r="B147" s="8" t="s">
        <v>412</v>
      </c>
      <c r="C147" s="10" t="s">
        <v>413</v>
      </c>
      <c r="D147" s="17" t="s">
        <v>685</v>
      </c>
      <c r="E147" s="10" t="s">
        <v>686</v>
      </c>
    </row>
    <row r="148" spans="1:5" x14ac:dyDescent="0.3">
      <c r="A148" s="7" t="s">
        <v>147</v>
      </c>
      <c r="B148" s="13" t="s">
        <v>414</v>
      </c>
      <c r="C148" s="10" t="s">
        <v>414</v>
      </c>
      <c r="D148" s="17" t="s">
        <v>687</v>
      </c>
      <c r="E148" s="10" t="s">
        <v>687</v>
      </c>
    </row>
    <row r="149" spans="1:5" x14ac:dyDescent="0.3">
      <c r="A149" s="7" t="s">
        <v>148</v>
      </c>
      <c r="B149" s="8" t="s">
        <v>415</v>
      </c>
      <c r="C149" s="10" t="s">
        <v>415</v>
      </c>
      <c r="D149" s="17" t="s">
        <v>688</v>
      </c>
      <c r="E149" s="10" t="s">
        <v>688</v>
      </c>
    </row>
    <row r="150" spans="1:5" x14ac:dyDescent="0.3">
      <c r="A150" s="7" t="s">
        <v>149</v>
      </c>
      <c r="B150" s="8" t="s">
        <v>416</v>
      </c>
      <c r="C150" s="10" t="s">
        <v>416</v>
      </c>
      <c r="D150" s="17" t="s">
        <v>689</v>
      </c>
      <c r="E150" s="10" t="s">
        <v>689</v>
      </c>
    </row>
    <row r="151" spans="1:5" x14ac:dyDescent="0.3">
      <c r="A151" s="7" t="s">
        <v>150</v>
      </c>
      <c r="B151" s="8" t="s">
        <v>417</v>
      </c>
      <c r="C151" s="10" t="s">
        <v>418</v>
      </c>
      <c r="D151" s="17" t="s">
        <v>690</v>
      </c>
      <c r="E151" s="10" t="s">
        <v>691</v>
      </c>
    </row>
    <row r="152" spans="1:5" x14ac:dyDescent="0.3">
      <c r="A152" s="19" t="s">
        <v>151</v>
      </c>
      <c r="B152" s="20" t="s">
        <v>419</v>
      </c>
      <c r="C152" s="21" t="s">
        <v>420</v>
      </c>
      <c r="D152" s="22" t="s">
        <v>692</v>
      </c>
      <c r="E152" s="21" t="s">
        <v>693</v>
      </c>
    </row>
  </sheetData>
  <conditionalFormatting sqref="B8:B9">
    <cfRule type="expression" dxfId="3" priority="7">
      <formula>MOD(ROW(),2)=0</formula>
    </cfRule>
  </conditionalFormatting>
  <conditionalFormatting sqref="C8:C9">
    <cfRule type="expression" dxfId="2" priority="5">
      <formula>MOD(ROW(),2)=0</formula>
    </cfRule>
  </conditionalFormatting>
  <conditionalFormatting sqref="D8:D9">
    <cfRule type="expression" dxfId="1" priority="3">
      <formula>MOD(ROW(),2)=0</formula>
    </cfRule>
  </conditionalFormatting>
  <conditionalFormatting sqref="E8:E9">
    <cfRule type="expression" dxfId="0" priority="1">
      <formula>MOD(ROW(),2)=0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43982-E6B6-4C2D-A5A9-1F32A7F8FAA3}">
  <sheetPr>
    <tabColor rgb="FFFFC000"/>
  </sheetPr>
  <dimension ref="A1:M19"/>
  <sheetViews>
    <sheetView topLeftCell="G1" workbookViewId="0">
      <selection activeCell="H23" sqref="H23"/>
    </sheetView>
  </sheetViews>
  <sheetFormatPr baseColWidth="10" defaultRowHeight="14.4" x14ac:dyDescent="0.3"/>
  <cols>
    <col min="2" max="2" width="40.5546875" bestFit="1" customWidth="1"/>
    <col min="3" max="3" width="40.5546875" customWidth="1"/>
    <col min="4" max="4" width="42.33203125" bestFit="1" customWidth="1"/>
    <col min="5" max="5" width="17" customWidth="1"/>
    <col min="6" max="7" width="44.44140625" bestFit="1" customWidth="1"/>
    <col min="8" max="8" width="62.109375" customWidth="1"/>
    <col min="9" max="9" width="18.88671875" bestFit="1" customWidth="1"/>
    <col min="10" max="10" width="15.6640625" customWidth="1"/>
    <col min="12" max="12" width="44.44140625" bestFit="1" customWidth="1"/>
    <col min="15" max="15" width="13.5546875" bestFit="1" customWidth="1"/>
    <col min="16" max="16" width="13.44140625" customWidth="1"/>
    <col min="17" max="17" width="18.88671875" bestFit="1" customWidth="1"/>
    <col min="18" max="18" width="11.33203125" bestFit="1" customWidth="1"/>
  </cols>
  <sheetData>
    <row r="1" spans="1:13" ht="15" customHeight="1" thickBot="1" x14ac:dyDescent="0.35">
      <c r="A1" s="23" t="s">
        <v>772</v>
      </c>
      <c r="B1" s="23" t="s">
        <v>696</v>
      </c>
      <c r="C1" s="23" t="s">
        <v>697</v>
      </c>
      <c r="D1" s="23" t="s">
        <v>698</v>
      </c>
      <c r="E1" s="23" t="s">
        <v>699</v>
      </c>
      <c r="F1" s="23" t="s">
        <v>700</v>
      </c>
      <c r="G1" s="23" t="s">
        <v>701</v>
      </c>
      <c r="H1" s="23" t="s">
        <v>702</v>
      </c>
      <c r="I1" s="23" t="s">
        <v>703</v>
      </c>
      <c r="J1" s="23" t="s">
        <v>704</v>
      </c>
    </row>
    <row r="2" spans="1:13" ht="28.8" x14ac:dyDescent="0.3">
      <c r="A2" s="399" t="s">
        <v>705</v>
      </c>
      <c r="B2" s="402" t="s">
        <v>706</v>
      </c>
      <c r="C2" s="24" t="s">
        <v>707</v>
      </c>
      <c r="D2" s="404" t="s">
        <v>708</v>
      </c>
      <c r="E2" s="25">
        <v>380</v>
      </c>
      <c r="F2" s="26" t="s">
        <v>709</v>
      </c>
      <c r="G2" s="26" t="s">
        <v>709</v>
      </c>
      <c r="H2" s="26" t="s">
        <v>710</v>
      </c>
      <c r="I2" s="27">
        <v>10</v>
      </c>
      <c r="J2" s="28" t="s">
        <v>711</v>
      </c>
      <c r="L2" s="26" t="s">
        <v>709</v>
      </c>
      <c r="M2" s="28" t="s">
        <v>711</v>
      </c>
    </row>
    <row r="3" spans="1:13" ht="43.2" x14ac:dyDescent="0.3">
      <c r="A3" s="400"/>
      <c r="B3" s="402"/>
      <c r="C3" s="29" t="s">
        <v>707</v>
      </c>
      <c r="D3" s="405"/>
      <c r="E3" s="30">
        <v>380</v>
      </c>
      <c r="F3" s="31" t="s">
        <v>712</v>
      </c>
      <c r="G3" s="31" t="s">
        <v>712</v>
      </c>
      <c r="H3" s="31" t="s">
        <v>713</v>
      </c>
      <c r="I3" s="32">
        <v>20</v>
      </c>
      <c r="J3" s="33" t="s">
        <v>714</v>
      </c>
      <c r="L3" s="31" t="s">
        <v>712</v>
      </c>
      <c r="M3" s="33" t="s">
        <v>714</v>
      </c>
    </row>
    <row r="4" spans="1:13" ht="15" customHeight="1" x14ac:dyDescent="0.3">
      <c r="A4" s="400"/>
      <c r="B4" s="402"/>
      <c r="C4" s="29" t="s">
        <v>707</v>
      </c>
      <c r="D4" s="405"/>
      <c r="E4" s="30">
        <v>725</v>
      </c>
      <c r="F4" s="31" t="s">
        <v>715</v>
      </c>
      <c r="G4" s="31" t="s">
        <v>715</v>
      </c>
      <c r="H4" s="31" t="s">
        <v>716</v>
      </c>
      <c r="I4" s="32">
        <v>10</v>
      </c>
      <c r="J4" s="33" t="s">
        <v>717</v>
      </c>
      <c r="L4" s="31" t="s">
        <v>715</v>
      </c>
      <c r="M4" s="33" t="s">
        <v>717</v>
      </c>
    </row>
    <row r="5" spans="1:13" ht="15" thickBot="1" x14ac:dyDescent="0.35">
      <c r="A5" s="400"/>
      <c r="B5" s="402"/>
      <c r="C5" s="34" t="s">
        <v>707</v>
      </c>
      <c r="D5" s="406"/>
      <c r="E5" s="35">
        <v>551</v>
      </c>
      <c r="F5" s="36" t="s">
        <v>718</v>
      </c>
      <c r="G5" s="36" t="s">
        <v>718</v>
      </c>
      <c r="H5" s="36" t="s">
        <v>719</v>
      </c>
      <c r="I5" s="37">
        <v>10</v>
      </c>
      <c r="J5" s="38" t="s">
        <v>720</v>
      </c>
      <c r="L5" s="36" t="s">
        <v>718</v>
      </c>
      <c r="M5" s="38" t="s">
        <v>720</v>
      </c>
    </row>
    <row r="6" spans="1:13" ht="28.5" customHeight="1" x14ac:dyDescent="0.3">
      <c r="A6" s="400"/>
      <c r="B6" s="402"/>
      <c r="C6" s="24" t="s">
        <v>721</v>
      </c>
      <c r="D6" s="404" t="s">
        <v>722</v>
      </c>
      <c r="E6" s="25">
        <v>134</v>
      </c>
      <c r="F6" s="26" t="s">
        <v>723</v>
      </c>
      <c r="G6" s="26" t="s">
        <v>723</v>
      </c>
      <c r="H6" s="26" t="s">
        <v>724</v>
      </c>
      <c r="I6" s="27">
        <v>10</v>
      </c>
      <c r="J6" s="33" t="s">
        <v>725</v>
      </c>
      <c r="L6" s="26" t="s">
        <v>723</v>
      </c>
      <c r="M6" s="33" t="s">
        <v>725</v>
      </c>
    </row>
    <row r="7" spans="1:13" ht="43.8" thickBot="1" x14ac:dyDescent="0.35">
      <c r="A7" s="400"/>
      <c r="B7" s="403"/>
      <c r="C7" s="34" t="s">
        <v>721</v>
      </c>
      <c r="D7" s="405"/>
      <c r="E7" s="39">
        <v>134</v>
      </c>
      <c r="F7" s="40" t="s">
        <v>726</v>
      </c>
      <c r="G7" s="40" t="s">
        <v>726</v>
      </c>
      <c r="H7" s="40" t="s">
        <v>727</v>
      </c>
      <c r="I7" s="41" t="s">
        <v>728</v>
      </c>
      <c r="J7" s="38" t="s">
        <v>729</v>
      </c>
      <c r="L7" s="40" t="s">
        <v>726</v>
      </c>
      <c r="M7" s="38" t="s">
        <v>729</v>
      </c>
    </row>
    <row r="8" spans="1:13" ht="28.8" x14ac:dyDescent="0.3">
      <c r="A8" s="400"/>
      <c r="B8" s="407" t="s">
        <v>730</v>
      </c>
      <c r="C8" s="42" t="s">
        <v>721</v>
      </c>
      <c r="D8" s="409" t="s">
        <v>731</v>
      </c>
      <c r="E8" s="43">
        <v>725</v>
      </c>
      <c r="F8" s="44" t="s">
        <v>732</v>
      </c>
      <c r="G8" s="44" t="s">
        <v>732</v>
      </c>
      <c r="H8" s="44" t="s">
        <v>733</v>
      </c>
      <c r="I8" s="45">
        <v>10</v>
      </c>
      <c r="J8" s="33" t="s">
        <v>734</v>
      </c>
      <c r="L8" s="44" t="s">
        <v>732</v>
      </c>
      <c r="M8" s="33" t="s">
        <v>734</v>
      </c>
    </row>
    <row r="9" spans="1:13" ht="15" thickBot="1" x14ac:dyDescent="0.35">
      <c r="A9" s="401"/>
      <c r="B9" s="408"/>
      <c r="C9" s="46" t="s">
        <v>721</v>
      </c>
      <c r="D9" s="410"/>
      <c r="E9" s="47">
        <v>129</v>
      </c>
      <c r="F9" s="48" t="s">
        <v>735</v>
      </c>
      <c r="G9" s="48" t="s">
        <v>735</v>
      </c>
      <c r="H9" s="48" t="s">
        <v>736</v>
      </c>
      <c r="I9" s="49">
        <v>10</v>
      </c>
      <c r="J9" s="38" t="s">
        <v>737</v>
      </c>
      <c r="L9" s="48" t="s">
        <v>735</v>
      </c>
      <c r="M9" s="38" t="s">
        <v>737</v>
      </c>
    </row>
    <row r="10" spans="1:13" ht="28.8" x14ac:dyDescent="0.3">
      <c r="A10" s="399" t="s">
        <v>738</v>
      </c>
      <c r="B10" s="414" t="s">
        <v>739</v>
      </c>
      <c r="C10" s="50" t="s">
        <v>740</v>
      </c>
      <c r="D10" s="416" t="s">
        <v>741</v>
      </c>
      <c r="E10" s="25">
        <v>733</v>
      </c>
      <c r="F10" s="419" t="s">
        <v>741</v>
      </c>
      <c r="G10" s="26" t="s">
        <v>742</v>
      </c>
      <c r="H10" s="26" t="s">
        <v>743</v>
      </c>
      <c r="I10" s="51" t="s">
        <v>744</v>
      </c>
      <c r="J10" s="33" t="s">
        <v>745</v>
      </c>
      <c r="L10" s="26" t="s">
        <v>742</v>
      </c>
      <c r="M10" s="33" t="s">
        <v>745</v>
      </c>
    </row>
    <row r="11" spans="1:13" ht="28.8" x14ac:dyDescent="0.3">
      <c r="A11" s="400"/>
      <c r="B11" s="402"/>
      <c r="C11" s="52" t="s">
        <v>740</v>
      </c>
      <c r="D11" s="417"/>
      <c r="E11" s="30">
        <v>733</v>
      </c>
      <c r="F11" s="420"/>
      <c r="G11" s="31" t="s">
        <v>746</v>
      </c>
      <c r="H11" s="31" t="s">
        <v>747</v>
      </c>
      <c r="I11" s="32">
        <v>10</v>
      </c>
      <c r="J11" s="33" t="s">
        <v>748</v>
      </c>
      <c r="L11" s="31" t="s">
        <v>746</v>
      </c>
      <c r="M11" s="33" t="s">
        <v>748</v>
      </c>
    </row>
    <row r="12" spans="1:13" ht="43.8" thickBot="1" x14ac:dyDescent="0.35">
      <c r="A12" s="400"/>
      <c r="B12" s="402"/>
      <c r="C12" s="53" t="s">
        <v>740</v>
      </c>
      <c r="D12" s="418"/>
      <c r="E12" s="35">
        <v>733</v>
      </c>
      <c r="F12" s="421"/>
      <c r="G12" s="36" t="s">
        <v>749</v>
      </c>
      <c r="H12" s="36" t="s">
        <v>750</v>
      </c>
      <c r="I12" s="37">
        <v>20</v>
      </c>
      <c r="J12" s="38" t="s">
        <v>751</v>
      </c>
      <c r="L12" s="36" t="s">
        <v>749</v>
      </c>
      <c r="M12" s="38" t="s">
        <v>751</v>
      </c>
    </row>
    <row r="13" spans="1:13" ht="28.8" x14ac:dyDescent="0.3">
      <c r="A13" s="400"/>
      <c r="B13" s="402"/>
      <c r="C13" s="54" t="s">
        <v>752</v>
      </c>
      <c r="D13" s="422" t="s">
        <v>753</v>
      </c>
      <c r="E13" s="25">
        <v>380</v>
      </c>
      <c r="F13" s="425" t="s">
        <v>753</v>
      </c>
      <c r="G13" s="55" t="s">
        <v>754</v>
      </c>
      <c r="H13" s="26" t="s">
        <v>755</v>
      </c>
      <c r="I13" s="51" t="s">
        <v>756</v>
      </c>
      <c r="J13" s="56" t="s">
        <v>757</v>
      </c>
      <c r="K13" s="411" t="s">
        <v>771</v>
      </c>
      <c r="L13" s="55" t="s">
        <v>754</v>
      </c>
      <c r="M13" s="56" t="s">
        <v>757</v>
      </c>
    </row>
    <row r="14" spans="1:13" ht="28.8" x14ac:dyDescent="0.3">
      <c r="A14" s="400"/>
      <c r="B14" s="402"/>
      <c r="C14" s="52" t="s">
        <v>752</v>
      </c>
      <c r="D14" s="423"/>
      <c r="E14" s="30">
        <v>733</v>
      </c>
      <c r="F14" s="426"/>
      <c r="G14" s="57" t="s">
        <v>758</v>
      </c>
      <c r="H14" s="31" t="s">
        <v>759</v>
      </c>
      <c r="I14" s="58" t="s">
        <v>756</v>
      </c>
      <c r="J14" s="59" t="s">
        <v>760</v>
      </c>
      <c r="K14" s="412"/>
      <c r="L14" s="57" t="s">
        <v>758</v>
      </c>
      <c r="M14" s="59" t="s">
        <v>760</v>
      </c>
    </row>
    <row r="15" spans="1:13" ht="28.8" x14ac:dyDescent="0.3">
      <c r="A15" s="400"/>
      <c r="B15" s="402"/>
      <c r="C15" s="52" t="s">
        <v>752</v>
      </c>
      <c r="D15" s="423"/>
      <c r="E15" s="30">
        <v>529</v>
      </c>
      <c r="F15" s="426"/>
      <c r="G15" s="60" t="s">
        <v>761</v>
      </c>
      <c r="H15" s="31" t="s">
        <v>762</v>
      </c>
      <c r="I15" s="58" t="s">
        <v>756</v>
      </c>
      <c r="J15" s="61" t="s">
        <v>763</v>
      </c>
      <c r="K15" s="412"/>
      <c r="L15" s="60" t="s">
        <v>761</v>
      </c>
      <c r="M15" s="61" t="s">
        <v>763</v>
      </c>
    </row>
    <row r="16" spans="1:13" ht="25.5" customHeight="1" x14ac:dyDescent="0.3">
      <c r="A16" s="400"/>
      <c r="B16" s="402"/>
      <c r="C16" s="52" t="s">
        <v>752</v>
      </c>
      <c r="D16" s="423"/>
      <c r="E16" s="30">
        <v>551</v>
      </c>
      <c r="F16" s="426"/>
      <c r="G16" s="62" t="s">
        <v>764</v>
      </c>
      <c r="H16" s="31" t="s">
        <v>765</v>
      </c>
      <c r="I16" s="58" t="s">
        <v>756</v>
      </c>
      <c r="J16" s="63" t="s">
        <v>766</v>
      </c>
      <c r="K16" s="412"/>
      <c r="L16" s="62" t="s">
        <v>764</v>
      </c>
      <c r="M16" s="63" t="s">
        <v>766</v>
      </c>
    </row>
    <row r="17" spans="1:13" ht="36" customHeight="1" thickBot="1" x14ac:dyDescent="0.35">
      <c r="A17" s="401"/>
      <c r="B17" s="415"/>
      <c r="C17" s="53" t="s">
        <v>752</v>
      </c>
      <c r="D17" s="424"/>
      <c r="E17" s="35">
        <v>720</v>
      </c>
      <c r="F17" s="427"/>
      <c r="G17" s="64" t="s">
        <v>767</v>
      </c>
      <c r="H17" s="36" t="s">
        <v>768</v>
      </c>
      <c r="I17" s="65" t="s">
        <v>756</v>
      </c>
      <c r="J17" s="66" t="s">
        <v>769</v>
      </c>
      <c r="K17" s="413"/>
      <c r="L17" s="64" t="s">
        <v>767</v>
      </c>
      <c r="M17" s="66" t="s">
        <v>769</v>
      </c>
    </row>
    <row r="19" spans="1:13" x14ac:dyDescent="0.3">
      <c r="B19" s="67" t="s">
        <v>770</v>
      </c>
      <c r="C19" s="67"/>
    </row>
  </sheetData>
  <mergeCells count="13">
    <mergeCell ref="K13:K17"/>
    <mergeCell ref="A10:A17"/>
    <mergeCell ref="B10:B17"/>
    <mergeCell ref="D10:D12"/>
    <mergeCell ref="F10:F12"/>
    <mergeCell ref="D13:D17"/>
    <mergeCell ref="F13:F17"/>
    <mergeCell ref="A2:A9"/>
    <mergeCell ref="B2:B7"/>
    <mergeCell ref="D2:D5"/>
    <mergeCell ref="D6:D7"/>
    <mergeCell ref="B8:B9"/>
    <mergeCell ref="D8:D9"/>
  </mergeCells>
  <hyperlinks>
    <hyperlink ref="K13:K17" location="'Sub_ITEMS_LAB_TESTs TÜV'!A1" display="+Subitems" xr:uid="{DAC902A5-97A3-4361-9EBB-D5496D85977A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C12C8-1376-4B79-B512-214C1D45200E}">
  <sheetPr>
    <tabColor rgb="FF00B050"/>
  </sheetPr>
  <dimension ref="A1:B5"/>
  <sheetViews>
    <sheetView topLeftCell="A13" workbookViewId="0">
      <selection activeCell="C11" sqref="C11"/>
    </sheetView>
  </sheetViews>
  <sheetFormatPr baseColWidth="10" defaultRowHeight="14.4" x14ac:dyDescent="0.3"/>
  <cols>
    <col min="1" max="1" width="36.33203125" customWidth="1"/>
  </cols>
  <sheetData>
    <row r="1" spans="1:2" ht="16.8" x14ac:dyDescent="0.3">
      <c r="A1" s="4" t="s">
        <v>773</v>
      </c>
      <c r="B1" s="4" t="s">
        <v>0</v>
      </c>
    </row>
    <row r="2" spans="1:2" ht="16.8" x14ac:dyDescent="0.3">
      <c r="A2" s="5" t="s">
        <v>774</v>
      </c>
      <c r="B2" s="68">
        <v>15803173</v>
      </c>
    </row>
    <row r="3" spans="1:2" ht="16.8" x14ac:dyDescent="0.3">
      <c r="A3" s="5" t="s">
        <v>775</v>
      </c>
      <c r="B3" s="68">
        <v>15804173</v>
      </c>
    </row>
    <row r="4" spans="1:2" ht="16.8" x14ac:dyDescent="0.3">
      <c r="A4" s="5" t="s">
        <v>776</v>
      </c>
      <c r="B4" s="68">
        <v>15805173</v>
      </c>
    </row>
    <row r="5" spans="1:2" ht="16.8" x14ac:dyDescent="0.3">
      <c r="A5" s="5" t="s">
        <v>777</v>
      </c>
      <c r="B5" s="68">
        <v>15806173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1F5ED-CF77-4EB0-BBB5-75AE11D7B362}">
  <sheetPr>
    <tabColor rgb="FFFFFF00"/>
  </sheetPr>
  <dimension ref="A1:A4"/>
  <sheetViews>
    <sheetView workbookViewId="0">
      <selection activeCell="C13" sqref="C13"/>
    </sheetView>
  </sheetViews>
  <sheetFormatPr baseColWidth="10" defaultRowHeight="14.4" x14ac:dyDescent="0.3"/>
  <cols>
    <col min="1" max="1" width="30.33203125" bestFit="1" customWidth="1"/>
  </cols>
  <sheetData>
    <row r="1" spans="1:1" x14ac:dyDescent="0.3">
      <c r="A1" s="74" t="s">
        <v>797</v>
      </c>
    </row>
    <row r="2" spans="1:1" x14ac:dyDescent="0.3">
      <c r="A2" t="s">
        <v>860</v>
      </c>
    </row>
    <row r="3" spans="1:1" x14ac:dyDescent="0.3">
      <c r="A3" t="s">
        <v>861</v>
      </c>
    </row>
    <row r="4" spans="1:1" x14ac:dyDescent="0.3">
      <c r="A4" t="s">
        <v>862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A2CD5C0-3B60-4886-A857-311D3011D704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948094c8-480e-400b-91c4-c984b7e20814}" enabled="1" method="Standard" siteId="{a1109567-0815-4e1f-88af-e23555482aa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2</vt:i4>
      </vt:variant>
    </vt:vector>
  </HeadingPairs>
  <TitlesOfParts>
    <vt:vector size="9" baseType="lpstr">
      <vt:lpstr>Plan Cost</vt:lpstr>
      <vt:lpstr>OFERTA</vt:lpstr>
      <vt:lpstr>FACTURA M</vt:lpstr>
      <vt:lpstr>Material Cost (lab)</vt:lpstr>
      <vt:lpstr>Material Cost</vt:lpstr>
      <vt:lpstr>Cost Center</vt:lpstr>
      <vt:lpstr>Technicians</vt:lpstr>
      <vt:lpstr>OFERTA!Área_de_impresión</vt:lpstr>
      <vt:lpstr>'Plan Cost'!Área_de_impresión</vt:lpstr>
    </vt:vector>
  </TitlesOfParts>
  <Company>TUV SUD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Herrera, Fernando</dc:creator>
  <cp:lastModifiedBy>Eva Vazquez</cp:lastModifiedBy>
  <cp:lastPrinted>2023-10-10T15:57:29Z</cp:lastPrinted>
  <dcterms:created xsi:type="dcterms:W3CDTF">2021-07-29T12:40:46Z</dcterms:created>
  <dcterms:modified xsi:type="dcterms:W3CDTF">2025-06-25T09:14:30Z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48094c8-480e-400b-91c4-c984b7e20814_Enabled">
    <vt:lpwstr>true</vt:lpwstr>
  </property>
  <property fmtid="{D5CDD505-2E9C-101B-9397-08002B2CF9AE}" pid="3" name="MSIP_Label_948094c8-480e-400b-91c4-c984b7e20814_SetDate">
    <vt:lpwstr>2021-07-29T12:40:47Z</vt:lpwstr>
  </property>
  <property fmtid="{D5CDD505-2E9C-101B-9397-08002B2CF9AE}" pid="4" name="MSIP_Label_948094c8-480e-400b-91c4-c984b7e20814_Method">
    <vt:lpwstr>Standard</vt:lpwstr>
  </property>
  <property fmtid="{D5CDD505-2E9C-101B-9397-08002B2CF9AE}" pid="5" name="MSIP_Label_948094c8-480e-400b-91c4-c984b7e20814_Name">
    <vt:lpwstr>948094c8-480e-400b-91c4-c984b7e20814</vt:lpwstr>
  </property>
  <property fmtid="{D5CDD505-2E9C-101B-9397-08002B2CF9AE}" pid="6" name="MSIP_Label_948094c8-480e-400b-91c4-c984b7e20814_SiteId">
    <vt:lpwstr>a1109567-0815-4e1f-88af-e23555482aaa</vt:lpwstr>
  </property>
  <property fmtid="{D5CDD505-2E9C-101B-9397-08002B2CF9AE}" pid="7" name="MSIP_Label_948094c8-480e-400b-91c4-c984b7e20814_ActionId">
    <vt:lpwstr>0a95c314-81e4-4bf8-ab12-242eec5384fb</vt:lpwstr>
  </property>
  <property fmtid="{D5CDD505-2E9C-101B-9397-08002B2CF9AE}" pid="8" name="MSIP_Label_948094c8-480e-400b-91c4-c984b7e20814_ContentBits">
    <vt:lpwstr>0</vt:lpwstr>
  </property>
</Properties>
</file>